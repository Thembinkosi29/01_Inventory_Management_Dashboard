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91940c593e260a/Documents/Portfolio/01_Inventory_Management_Dashboard/"/>
    </mc:Choice>
  </mc:AlternateContent>
  <xr:revisionPtr revIDLastSave="305" documentId="8_{34AF72B8-926D-4EE0-9CFA-BBB02E2A7A79}" xr6:coauthVersionLast="47" xr6:coauthVersionMax="47" xr10:uidLastSave="{306AC804-F6AE-4D59-90D0-CDCB5A1CBF9E}"/>
  <bookViews>
    <workbookView xWindow="-120" yWindow="-120" windowWidth="29040" windowHeight="15720" activeTab="3" xr2:uid="{51130165-A6AD-43F3-929F-2A38419BE6FC}"/>
  </bookViews>
  <sheets>
    <sheet name="Raw Data" sheetId="1" r:id="rId1"/>
    <sheet name="Data Cleaning" sheetId="2" r:id="rId2"/>
    <sheet name="Anaysis" sheetId="3" r:id="rId3"/>
    <sheet name="Dashboar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6" i="3" l="1" a="1"/>
  <c r="D16" i="3"/>
  <c r="H5" i="4"/>
  <c r="E5" i="4"/>
  <c r="B5" i="4"/>
  <c r="H3" i="4"/>
  <c r="E3" i="4"/>
  <c r="B3" i="4"/>
  <c r="D17" i="3" a="1"/>
  <c r="D17" i="3"/>
  <c r="D18" i="3" a="1"/>
  <c r="D18" i="3"/>
  <c r="D19" i="3" a="1"/>
  <c r="D19" i="3"/>
  <c r="C17" i="3"/>
  <c r="C18" i="3"/>
  <c r="C19" i="3"/>
  <c r="C16" i="3"/>
  <c r="B17" i="3"/>
  <c r="B18" i="3"/>
  <c r="B19" i="3"/>
  <c r="B16" i="3"/>
  <c r="B10" i="3"/>
  <c r="B9" i="3"/>
  <c r="B8" i="3"/>
  <c r="B7" i="3"/>
  <c r="B6" i="3"/>
  <c r="B5" i="3"/>
  <c r="B4" i="3"/>
  <c r="B3" i="3"/>
  <c r="A70" i="1"/>
  <c r="A69" i="1"/>
  <c r="A5" i="2"/>
  <c r="B5" i="2"/>
  <c r="C5" i="2"/>
  <c r="D5" i="2"/>
  <c r="A6" i="2"/>
  <c r="B6" i="2"/>
  <c r="C6" i="2"/>
  <c r="D6" i="2"/>
  <c r="A7" i="2"/>
  <c r="B7" i="2"/>
  <c r="C7" i="2"/>
  <c r="D7" i="2"/>
  <c r="A8" i="2"/>
  <c r="B8" i="2"/>
  <c r="C8" i="2"/>
  <c r="D8" i="2"/>
  <c r="A9" i="2"/>
  <c r="B9" i="2"/>
  <c r="C9" i="2"/>
  <c r="D9" i="2"/>
  <c r="A10" i="2"/>
  <c r="B10" i="2"/>
  <c r="C10" i="2"/>
  <c r="D10" i="2"/>
  <c r="A11" i="2"/>
  <c r="B11" i="2"/>
  <c r="C11" i="2"/>
  <c r="D11" i="2"/>
  <c r="A12" i="2"/>
  <c r="B12" i="2"/>
  <c r="C12" i="2"/>
  <c r="D12" i="2"/>
  <c r="A13" i="2"/>
  <c r="B13" i="2"/>
  <c r="C13" i="2"/>
  <c r="D13" i="2"/>
  <c r="A14" i="2"/>
  <c r="B14" i="2"/>
  <c r="C14" i="2"/>
  <c r="D14" i="2"/>
  <c r="A15" i="2"/>
  <c r="B15" i="2"/>
  <c r="C15" i="2"/>
  <c r="D15" i="2"/>
  <c r="A16" i="2"/>
  <c r="B16" i="2"/>
  <c r="C16" i="2"/>
  <c r="D16" i="2"/>
  <c r="A17" i="2"/>
  <c r="B17" i="2"/>
  <c r="C17" i="2"/>
  <c r="D17" i="2"/>
  <c r="A18" i="2"/>
  <c r="B18" i="2"/>
  <c r="C18" i="2"/>
  <c r="D18" i="2"/>
  <c r="A19" i="2"/>
  <c r="B19" i="2"/>
  <c r="C19" i="2"/>
  <c r="D19" i="2"/>
  <c r="A20" i="2"/>
  <c r="B20" i="2"/>
  <c r="C20" i="2"/>
  <c r="D20" i="2"/>
  <c r="A21" i="2"/>
  <c r="B21" i="2"/>
  <c r="C21" i="2"/>
  <c r="D21" i="2"/>
  <c r="A22" i="2"/>
  <c r="B22" i="2"/>
  <c r="C22" i="2"/>
  <c r="D22" i="2"/>
  <c r="A23" i="2"/>
  <c r="B23" i="2"/>
  <c r="C23" i="2"/>
  <c r="D23" i="2"/>
  <c r="A24" i="2"/>
  <c r="B24" i="2"/>
  <c r="C24" i="2"/>
  <c r="D24" i="2"/>
  <c r="A25" i="2"/>
  <c r="B25" i="2"/>
  <c r="C25" i="2"/>
  <c r="D25" i="2"/>
  <c r="A26" i="2"/>
  <c r="B26" i="2"/>
  <c r="C26" i="2"/>
  <c r="D26" i="2"/>
  <c r="A27" i="2"/>
  <c r="B27" i="2"/>
  <c r="C27" i="2"/>
  <c r="D27" i="2"/>
  <c r="A28" i="2"/>
  <c r="B28" i="2"/>
  <c r="C28" i="2"/>
  <c r="D28" i="2"/>
  <c r="A29" i="2"/>
  <c r="B29" i="2"/>
  <c r="C29" i="2"/>
  <c r="D29" i="2"/>
  <c r="A30" i="2"/>
  <c r="B30" i="2"/>
  <c r="C30" i="2"/>
  <c r="D30" i="2"/>
  <c r="A31" i="2"/>
  <c r="B31" i="2"/>
  <c r="C31" i="2"/>
  <c r="D31" i="2"/>
  <c r="A32" i="2"/>
  <c r="B32" i="2"/>
  <c r="C32" i="2"/>
  <c r="D32" i="2"/>
  <c r="A33" i="2"/>
  <c r="B33" i="2"/>
  <c r="C33" i="2"/>
  <c r="D33" i="2"/>
  <c r="A34" i="2"/>
  <c r="B34" i="2"/>
  <c r="C34" i="2"/>
  <c r="D34" i="2"/>
  <c r="A35" i="2"/>
  <c r="B35" i="2"/>
  <c r="C35" i="2"/>
  <c r="D35" i="2"/>
  <c r="A36" i="2"/>
  <c r="B36" i="2"/>
  <c r="C36" i="2"/>
  <c r="D36" i="2"/>
  <c r="A37" i="2"/>
  <c r="B37" i="2"/>
  <c r="C37" i="2"/>
  <c r="D37" i="2"/>
  <c r="A38" i="2"/>
  <c r="B38" i="2"/>
  <c r="C38" i="2"/>
  <c r="D38" i="2"/>
  <c r="A39" i="2"/>
  <c r="B39" i="2"/>
  <c r="C39" i="2"/>
  <c r="D39" i="2"/>
  <c r="A40" i="2"/>
  <c r="B40" i="2"/>
  <c r="C40" i="2"/>
  <c r="D40" i="2"/>
  <c r="A41" i="2"/>
  <c r="B41" i="2"/>
  <c r="C41" i="2"/>
  <c r="D41" i="2"/>
  <c r="A42" i="2"/>
  <c r="B42" i="2"/>
  <c r="C42" i="2"/>
  <c r="D42" i="2"/>
  <c r="A43" i="2"/>
  <c r="B43" i="2"/>
  <c r="C43" i="2"/>
  <c r="D43" i="2"/>
  <c r="A44" i="2"/>
  <c r="B44" i="2"/>
  <c r="C44" i="2"/>
  <c r="D44" i="2"/>
  <c r="A45" i="2"/>
  <c r="B45" i="2"/>
  <c r="C45" i="2"/>
  <c r="D45" i="2"/>
  <c r="A46" i="2"/>
  <c r="B46" i="2"/>
  <c r="C46" i="2"/>
  <c r="D46" i="2"/>
  <c r="A47" i="2"/>
  <c r="B47" i="2"/>
  <c r="C47" i="2"/>
  <c r="D47" i="2"/>
  <c r="A48" i="2"/>
  <c r="B48" i="2"/>
  <c r="C48" i="2"/>
  <c r="D48" i="2"/>
  <c r="A49" i="2"/>
  <c r="B49" i="2"/>
  <c r="C49" i="2"/>
  <c r="D49" i="2"/>
  <c r="A50" i="2"/>
  <c r="B50" i="2"/>
  <c r="C50" i="2"/>
  <c r="D50" i="2"/>
  <c r="A51" i="2"/>
  <c r="B51" i="2"/>
  <c r="C51" i="2"/>
  <c r="D51" i="2"/>
  <c r="A52" i="2"/>
  <c r="B52" i="2"/>
  <c r="C52" i="2"/>
  <c r="D52" i="2"/>
  <c r="A53" i="2"/>
  <c r="B53" i="2"/>
  <c r="C53" i="2"/>
  <c r="D53" i="2"/>
  <c r="D4" i="2"/>
  <c r="C4" i="2"/>
  <c r="B4" i="2"/>
  <c r="A4" i="2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<sst xmlns="http://schemas.openxmlformats.org/spreadsheetml/2006/main" count="348" uniqueCount="150">
  <si>
    <t>Product_ID</t>
  </si>
  <si>
    <t>Product_Name</t>
  </si>
  <si>
    <t>Category</t>
  </si>
  <si>
    <t>Supplier</t>
  </si>
  <si>
    <t>Warehouse</t>
  </si>
  <si>
    <t>Unit_Cost</t>
  </si>
  <si>
    <t>Reorder_Level</t>
  </si>
  <si>
    <t>Units_Sold</t>
  </si>
  <si>
    <t>Order_Date</t>
  </si>
  <si>
    <t>Delivery_Status</t>
  </si>
  <si>
    <t>P001</t>
  </si>
  <si>
    <t>Laptop Stand</t>
  </si>
  <si>
    <t>Office Equipment</t>
  </si>
  <si>
    <t>Supplier A</t>
  </si>
  <si>
    <t>Johannesburg</t>
  </si>
  <si>
    <t>On Time</t>
  </si>
  <si>
    <t>P002</t>
  </si>
  <si>
    <t>Wireless Mouse</t>
  </si>
  <si>
    <t>Electronics</t>
  </si>
  <si>
    <t>Supplier B</t>
  </si>
  <si>
    <t>Pretoria</t>
  </si>
  <si>
    <t>P003</t>
  </si>
  <si>
    <t>Keyboard</t>
  </si>
  <si>
    <t>Supplier C</t>
  </si>
  <si>
    <t>Late</t>
  </si>
  <si>
    <t>P004</t>
  </si>
  <si>
    <t>Office Chair</t>
  </si>
  <si>
    <t>Furniture</t>
  </si>
  <si>
    <t>Durban</t>
  </si>
  <si>
    <t>P005</t>
  </si>
  <si>
    <t>Desk Lamp</t>
  </si>
  <si>
    <t>Supplier D</t>
  </si>
  <si>
    <t>P006</t>
  </si>
  <si>
    <t>Monitor 24-inch</t>
  </si>
  <si>
    <t>P007</t>
  </si>
  <si>
    <t>USB Cable</t>
  </si>
  <si>
    <t>P008</t>
  </si>
  <si>
    <t>Notebook</t>
  </si>
  <si>
    <t>Stationery</t>
  </si>
  <si>
    <t>P009</t>
  </si>
  <si>
    <t>Pen Pack</t>
  </si>
  <si>
    <t>P010</t>
  </si>
  <si>
    <t>Printer</t>
  </si>
  <si>
    <t>P011</t>
  </si>
  <si>
    <t>Desk</t>
  </si>
  <si>
    <t>P012</t>
  </si>
  <si>
    <t>Headset</t>
  </si>
  <si>
    <t>P013</t>
  </si>
  <si>
    <t>Calculator</t>
  </si>
  <si>
    <t>P014</t>
  </si>
  <si>
    <t>Filing Cabinet</t>
  </si>
  <si>
    <t>P015</t>
  </si>
  <si>
    <t>Power Bank</t>
  </si>
  <si>
    <t>P016</t>
  </si>
  <si>
    <t>Stapler</t>
  </si>
  <si>
    <t>P017</t>
  </si>
  <si>
    <t>External Hard Drive</t>
  </si>
  <si>
    <t>P018</t>
  </si>
  <si>
    <t>Whiteboard</t>
  </si>
  <si>
    <t>P019</t>
  </si>
  <si>
    <t>Desk Organizer</t>
  </si>
  <si>
    <t>P020</t>
  </si>
  <si>
    <t>Bookshelf</t>
  </si>
  <si>
    <t>P021</t>
  </si>
  <si>
    <t>Laptop Bag</t>
  </si>
  <si>
    <t>P022</t>
  </si>
  <si>
    <t>Webcam</t>
  </si>
  <si>
    <t>P023</t>
  </si>
  <si>
    <t>Printer Paper</t>
  </si>
  <si>
    <t>P024</t>
  </si>
  <si>
    <t>Marker Pack</t>
  </si>
  <si>
    <t>P025</t>
  </si>
  <si>
    <t>Office Sofa</t>
  </si>
  <si>
    <t>P026</t>
  </si>
  <si>
    <t>Tablet</t>
  </si>
  <si>
    <t>P027</t>
  </si>
  <si>
    <t>Extension Cable</t>
  </si>
  <si>
    <t>P028</t>
  </si>
  <si>
    <t>Envelope Pack</t>
  </si>
  <si>
    <t>P029</t>
  </si>
  <si>
    <t>Meeting Table</t>
  </si>
  <si>
    <t>P030</t>
  </si>
  <si>
    <t>Office Fan</t>
  </si>
  <si>
    <t>P031</t>
  </si>
  <si>
    <t>Mouse Pad</t>
  </si>
  <si>
    <t>P032</t>
  </si>
  <si>
    <t>HDMI Cable</t>
  </si>
  <si>
    <t>P033</t>
  </si>
  <si>
    <t>Desk Drawer</t>
  </si>
  <si>
    <t>P034</t>
  </si>
  <si>
    <t>Toner Cartridge</t>
  </si>
  <si>
    <t>P035</t>
  </si>
  <si>
    <t>Sticky Notes</t>
  </si>
  <si>
    <t>P036</t>
  </si>
  <si>
    <t>Smartphone</t>
  </si>
  <si>
    <t>P037</t>
  </si>
  <si>
    <t>Conference Chair</t>
  </si>
  <si>
    <t>P038</t>
  </si>
  <si>
    <t>USB Hub</t>
  </si>
  <si>
    <t>P039</t>
  </si>
  <si>
    <t>Calculator Scientific</t>
  </si>
  <si>
    <t>P040</t>
  </si>
  <si>
    <t>Reception Desk</t>
  </si>
  <si>
    <t>P041</t>
  </si>
  <si>
    <t>Barcode Scanner</t>
  </si>
  <si>
    <t>P042</t>
  </si>
  <si>
    <t>Clipboard</t>
  </si>
  <si>
    <t>P043</t>
  </si>
  <si>
    <t>Desk Mat</t>
  </si>
  <si>
    <t>P044</t>
  </si>
  <si>
    <t>Projector</t>
  </si>
  <si>
    <t>P045</t>
  </si>
  <si>
    <t>Computer Speakers</t>
  </si>
  <si>
    <t>P046</t>
  </si>
  <si>
    <t>Lever Arch File</t>
  </si>
  <si>
    <t>P047</t>
  </si>
  <si>
    <t>Visitor Chair</t>
  </si>
  <si>
    <t>P048</t>
  </si>
  <si>
    <t>Memory Card</t>
  </si>
  <si>
    <t>P049</t>
  </si>
  <si>
    <t>Calculator Basic</t>
  </si>
  <si>
    <t>P050</t>
  </si>
  <si>
    <t>Office Cabinet</t>
  </si>
  <si>
    <t>Stock_Quantity</t>
  </si>
  <si>
    <t xml:space="preserve">Data Quality Checks </t>
  </si>
  <si>
    <t>Reorder_Status</t>
  </si>
  <si>
    <t>Sum</t>
  </si>
  <si>
    <t>Average</t>
  </si>
  <si>
    <t>Running Total</t>
  </si>
  <si>
    <t>Count</t>
  </si>
  <si>
    <t>Inventory Analysis</t>
  </si>
  <si>
    <t>Total Products</t>
  </si>
  <si>
    <t>Total Stock Units</t>
  </si>
  <si>
    <t>Total Inventory Value</t>
  </si>
  <si>
    <t>Total Units Sold</t>
  </si>
  <si>
    <t>Average Stock per Product</t>
  </si>
  <si>
    <t>Products Needing Reorder</t>
  </si>
  <si>
    <t>On-Time Deliveries</t>
  </si>
  <si>
    <t>Late Deliveries</t>
  </si>
  <si>
    <t>Stock Units</t>
  </si>
  <si>
    <t>Units Sold</t>
  </si>
  <si>
    <t>Inventory Value</t>
  </si>
  <si>
    <t xml:space="preserve">Total Units Sold </t>
  </si>
  <si>
    <t xml:space="preserve">Late Deliveries </t>
  </si>
  <si>
    <t xml:space="preserve">Total Inventory Value </t>
  </si>
  <si>
    <t>Inventory Management Dashboard:</t>
  </si>
  <si>
    <t>Delivery status</t>
  </si>
  <si>
    <t xml:space="preserve">Count </t>
  </si>
  <si>
    <t xml:space="preserve">On Time </t>
  </si>
  <si>
    <t xml:space="preserve">Late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</si>
</sst>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&quot;* #,##0.00_-;\-&quot;R&quot;* #,##0.00_-;_-&quot;R&quot;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4" fontId="0" fillId="0" borderId="0" xfId="1" applyFont="1"/>
    <xf numFmtId="0" fontId="2" fillId="0" borderId="1" xfId="0" applyFont="1" applyBorder="1" applyAlignment="1">
      <alignment horizontal="center"/>
    </xf>
    <xf numFmtId="44" fontId="2" fillId="0" borderId="1" xfId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="1"/>
              <a:t>Stock Units by</a:t>
            </a:r>
            <a:r>
              <a:rPr lang="en-ZA" b="1" baseline="0"/>
              <a:t> Category</a:t>
            </a:r>
            <a:endParaRPr lang="en-ZA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>
        <c:manualLayout>
          <c:layoutTarget val="inner"/>
          <c:xMode val="edge"/>
          <c:yMode val="edge"/>
          <c:x val="0.10233942276202816"/>
          <c:y val="0.15673563218390807"/>
          <c:w val="0.87789567884056074"/>
          <c:h val="0.723180378314779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Anaysis!$B$15</c:f>
              <c:strCache>
                <c:ptCount val="1"/>
                <c:pt idx="0">
                  <c:v>Stock Units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cat>
            <c:strRef>
              <c:f>Anaysis!$A$16:$A$19</c:f>
              <c:strCache>
                <c:ptCount val="4"/>
                <c:pt idx="0">
                  <c:v>Electronics</c:v>
                </c:pt>
                <c:pt idx="1">
                  <c:v>Furniture</c:v>
                </c:pt>
                <c:pt idx="2">
                  <c:v>Office Equipment</c:v>
                </c:pt>
                <c:pt idx="3">
                  <c:v>Stationery</c:v>
                </c:pt>
              </c:strCache>
            </c:strRef>
          </c:cat>
          <c:val>
            <c:numRef>
              <c:f>Anaysis!$B$16:$B$19</c:f>
              <c:numCache>
                <c:formatCode>General</c:formatCode>
                <c:ptCount val="4"/>
                <c:pt idx="0">
                  <c:v>1069</c:v>
                </c:pt>
                <c:pt idx="1">
                  <c:v>214</c:v>
                </c:pt>
                <c:pt idx="2">
                  <c:v>476</c:v>
                </c:pt>
                <c:pt idx="3">
                  <c:v>2273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B4-46E2-B172-3B540E3F4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6427072"/>
        <c:axId val="1610906576"/>
      </c:barChart>
      <c:catAx>
        <c:axId val="149642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906576"/>
        <c:crosses val="autoZero"/>
        <c:auto val="1"/>
        <c:lblAlgn val="ctr"/>
        <c:lblOffset val="100"/>
        <c:noMultiLvlLbl val="0"/>
      </c:catAx>
      <c:valAx>
        <c:axId val="161090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427072"/>
        <c:crosses val="autoZero"/>
        <c:crossBetween val="between"/>
      </c:valAx>
      <c:spPr>
        <a:noFill/>
        <a:ln>
          <a:solidFill>
            <a:schemeClr val="tx1">
              <a:lumMod val="95000"/>
              <a:lumOff val="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="1"/>
              <a:t>Units Sold</a:t>
            </a:r>
            <a:r>
              <a:rPr lang="en-ZA" b="1" baseline="0"/>
              <a:t> by Category</a:t>
            </a:r>
            <a:endParaRPr lang="en-ZA" b="1"/>
          </a:p>
        </c:rich>
      </c:tx>
      <c:layout>
        <c:manualLayout>
          <c:xMode val="edge"/>
          <c:yMode val="edge"/>
          <c:x val="0.32781662292213476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Anaysis!$C$15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cat>
            <c:strRef>
              <c:f>Anaysis!$A$16:$A$19</c:f>
              <c:strCache>
                <c:ptCount val="4"/>
                <c:pt idx="0">
                  <c:v>Electronics</c:v>
                </c:pt>
                <c:pt idx="1">
                  <c:v>Furniture</c:v>
                </c:pt>
                <c:pt idx="2">
                  <c:v>Office Equipment</c:v>
                </c:pt>
                <c:pt idx="3">
                  <c:v>Stationery</c:v>
                </c:pt>
              </c:strCache>
            </c:strRef>
          </c:cat>
          <c:val>
            <c:numRef>
              <c:f>Anaysis!$C$16:$C$19</c:f>
              <c:numCache>
                <c:formatCode>General</c:formatCode>
                <c:ptCount val="4"/>
                <c:pt idx="0">
                  <c:v>739</c:v>
                </c:pt>
                <c:pt idx="1">
                  <c:v>140</c:v>
                </c:pt>
                <c:pt idx="2">
                  <c:v>324</c:v>
                </c:pt>
                <c:pt idx="3">
                  <c:v>1580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B-4917-BFB3-F7576A414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2834176"/>
        <c:axId val="1610987696"/>
      </c:barChart>
      <c:catAx>
        <c:axId val="150283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987696"/>
        <c:crosses val="autoZero"/>
        <c:auto val="1"/>
        <c:lblAlgn val="ctr"/>
        <c:lblOffset val="100"/>
        <c:noMultiLvlLbl val="0"/>
      </c:catAx>
      <c:valAx>
        <c:axId val="161098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834176"/>
        <c:crosses val="autoZero"/>
        <c:crossBetween val="between"/>
      </c:valAx>
      <c:spPr>
        <a:noFill/>
        <a:ln>
          <a:solidFill>
            <a:schemeClr val="tx1">
              <a:lumMod val="95000"/>
              <a:lumOff val="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="1"/>
              <a:t>Delivery</a:t>
            </a:r>
            <a:r>
              <a:rPr lang="en-ZA" b="1" baseline="0"/>
              <a:t> Performance </a:t>
            </a:r>
            <a:r>
              <a:rPr lang="en-ZA" b="1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Anaysis!$G$15</c:f>
              <c:strCache>
                <c:ptCount val="1"/>
                <c:pt idx="0">
                  <c:v>Count 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cat>
            <c:strRef>
              <c:f>Anaysis!$F$16:$F$17</c:f>
              <c:strCache>
                <c:ptCount val="2"/>
                <c:pt idx="0">
                  <c:v>On Time </c:v>
                </c:pt>
                <c:pt idx="1">
                  <c:v>Late </c:v>
                </c:pt>
              </c:strCache>
            </c:strRef>
          </c:cat>
          <c:val>
            <c:numRef>
              <c:f>Anaysis!$G$16:$G$17</c:f>
              <c:numCache>
                <c:formatCode>General</c:formatCode>
                <c:ptCount val="2"/>
                <c:pt idx="0">
                  <c:v>37</c:v>
                </c:pt>
                <c:pt idx="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76-4A3B-84D3-A015D1883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6470688"/>
        <c:axId val="1610980016"/>
      </c:barChart>
      <c:catAx>
        <c:axId val="149647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980016"/>
        <c:crosses val="autoZero"/>
        <c:auto val="1"/>
        <c:lblAlgn val="ctr"/>
        <c:lblOffset val="100"/>
        <c:noMultiLvlLbl val="0"/>
      </c:catAx>
      <c:valAx>
        <c:axId val="161098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470688"/>
        <c:crosses val="autoZero"/>
        <c:crossBetween val="between"/>
      </c:valAx>
      <c:spPr>
        <a:noFill/>
        <a:ln>
          <a:solidFill>
            <a:schemeClr val="tx1">
              <a:lumMod val="95000"/>
              <a:lumOff val="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9525</xdr:rowOff>
    </xdr:from>
    <xdr:to>
      <xdr:col>3</xdr:col>
      <xdr:colOff>123825</xdr:colOff>
      <xdr:row>21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3C52F3-E866-4BED-B139-D83E34DCD1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257174</xdr:colOff>
      <xdr:row>7</xdr:row>
      <xdr:rowOff>0</xdr:rowOff>
    </xdr:from>
    <xdr:to>
      <xdr:col>7</xdr:col>
      <xdr:colOff>933449</xdr:colOff>
      <xdr:row>21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248DFF-4C9E-4839-B3AA-A77A81246B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1447800</xdr:colOff>
      <xdr:row>23</xdr:row>
      <xdr:rowOff>9525</xdr:rowOff>
    </xdr:from>
    <xdr:to>
      <xdr:col>5</xdr:col>
      <xdr:colOff>57149</xdr:colOff>
      <xdr:row>36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048D41-F29C-4141-8629-4D57E16C32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202A1-9CA7-4F9A-B62B-5DDC613BF346}">
  <dimension ref="A1:K70"/>
  <sheetViews>
    <sheetView topLeftCell="A40" workbookViewId="0">
      <selection activeCell="A71" sqref="A71"/>
    </sheetView>
  </sheetViews>
  <sheetFormatPr defaultRowHeight="15" x14ac:dyDescent="0.25"/>
  <cols>
    <col min="1" max="1" width="10.5703125" bestFit="1" customWidth="1"/>
    <col min="2" max="2" width="18.85546875" bestFit="1" customWidth="1"/>
    <col min="3" max="3" width="16.140625" bestFit="1" customWidth="1"/>
    <col min="4" max="4" width="10" bestFit="1" customWidth="1"/>
    <col min="5" max="5" width="13.5703125" bestFit="1" customWidth="1"/>
    <col min="6" max="6" width="14.140625" bestFit="1" customWidth="1"/>
    <col min="8" max="8" width="13.140625" bestFit="1" customWidth="1"/>
    <col min="9" max="9" width="10.28515625" bestFit="1" customWidth="1"/>
    <col min="10" max="10" width="10.85546875" bestFit="1" customWidth="1"/>
    <col min="11" max="11" width="14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123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45</v>
      </c>
      <c r="G2">
        <v>350</v>
      </c>
      <c r="H2">
        <v>20</v>
      </c>
      <c r="I2">
        <v>32</v>
      </c>
      <c r="J2" s="1">
        <v>46027</v>
      </c>
      <c r="K2" t="s">
        <v>15</v>
      </c>
    </row>
    <row r="3" spans="1:11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>
        <v>120</v>
      </c>
      <c r="G3">
        <v>180</v>
      </c>
      <c r="H3">
        <v>50</v>
      </c>
      <c r="I3">
        <v>85</v>
      </c>
      <c r="J3" s="1">
        <v>46029</v>
      </c>
      <c r="K3" t="s">
        <v>15</v>
      </c>
    </row>
    <row r="4" spans="1:11" x14ac:dyDescent="0.25">
      <c r="A4" t="s">
        <v>21</v>
      </c>
      <c r="B4" t="s">
        <v>22</v>
      </c>
      <c r="C4" t="s">
        <v>18</v>
      </c>
      <c r="D4" t="s">
        <v>23</v>
      </c>
      <c r="E4" t="s">
        <v>14</v>
      </c>
      <c r="F4">
        <v>75</v>
      </c>
      <c r="G4">
        <v>250</v>
      </c>
      <c r="H4">
        <v>30</v>
      </c>
      <c r="I4">
        <v>52</v>
      </c>
      <c r="J4" s="1">
        <v>46031</v>
      </c>
      <c r="K4" t="s">
        <v>24</v>
      </c>
    </row>
    <row r="5" spans="1:11" x14ac:dyDescent="0.25">
      <c r="A5" t="s">
        <v>25</v>
      </c>
      <c r="B5" t="s">
        <v>26</v>
      </c>
      <c r="C5" t="s">
        <v>27</v>
      </c>
      <c r="D5" t="s">
        <v>13</v>
      </c>
      <c r="E5" t="s">
        <v>28</v>
      </c>
      <c r="F5">
        <v>28</v>
      </c>
      <c r="G5">
        <v>1450</v>
      </c>
      <c r="H5">
        <v>15</v>
      </c>
      <c r="I5">
        <v>18</v>
      </c>
      <c r="J5" s="1">
        <v>46034</v>
      </c>
      <c r="K5" t="s">
        <v>15</v>
      </c>
    </row>
    <row r="6" spans="1:11" x14ac:dyDescent="0.25">
      <c r="A6" t="s">
        <v>29</v>
      </c>
      <c r="B6" t="s">
        <v>30</v>
      </c>
      <c r="C6" t="s">
        <v>12</v>
      </c>
      <c r="D6" t="s">
        <v>31</v>
      </c>
      <c r="E6" t="s">
        <v>20</v>
      </c>
      <c r="F6">
        <v>60</v>
      </c>
      <c r="G6">
        <v>420</v>
      </c>
      <c r="H6">
        <v>25</v>
      </c>
      <c r="I6">
        <v>41</v>
      </c>
      <c r="J6" s="1">
        <v>46036</v>
      </c>
      <c r="K6" t="s">
        <v>15</v>
      </c>
    </row>
    <row r="7" spans="1:11" x14ac:dyDescent="0.25">
      <c r="A7" t="s">
        <v>32</v>
      </c>
      <c r="B7" t="s">
        <v>33</v>
      </c>
      <c r="C7" t="s">
        <v>18</v>
      </c>
      <c r="D7" t="s">
        <v>19</v>
      </c>
      <c r="E7" t="s">
        <v>14</v>
      </c>
      <c r="F7">
        <v>35</v>
      </c>
      <c r="G7">
        <v>2800</v>
      </c>
      <c r="H7">
        <v>20</v>
      </c>
      <c r="I7">
        <v>27</v>
      </c>
      <c r="J7" s="1">
        <v>46038</v>
      </c>
      <c r="K7" t="s">
        <v>24</v>
      </c>
    </row>
    <row r="8" spans="1:11" x14ac:dyDescent="0.25">
      <c r="A8" t="s">
        <v>34</v>
      </c>
      <c r="B8" t="s">
        <v>35</v>
      </c>
      <c r="C8" t="s">
        <v>18</v>
      </c>
      <c r="D8" t="s">
        <v>23</v>
      </c>
      <c r="E8" t="s">
        <v>28</v>
      </c>
      <c r="F8">
        <v>200</v>
      </c>
      <c r="G8">
        <v>95</v>
      </c>
      <c r="H8">
        <v>80</v>
      </c>
      <c r="I8">
        <v>135</v>
      </c>
      <c r="J8" s="1">
        <v>46040</v>
      </c>
      <c r="K8" t="s">
        <v>15</v>
      </c>
    </row>
    <row r="9" spans="1:11" x14ac:dyDescent="0.25">
      <c r="A9" t="s">
        <v>36</v>
      </c>
      <c r="B9" t="s">
        <v>37</v>
      </c>
      <c r="C9" t="s">
        <v>38</v>
      </c>
      <c r="D9" t="s">
        <v>31</v>
      </c>
      <c r="E9" t="s">
        <v>20</v>
      </c>
      <c r="F9">
        <v>300</v>
      </c>
      <c r="G9">
        <v>35</v>
      </c>
      <c r="H9">
        <v>100</v>
      </c>
      <c r="I9">
        <v>210</v>
      </c>
      <c r="J9" s="1">
        <v>46042</v>
      </c>
      <c r="K9" t="s">
        <v>15</v>
      </c>
    </row>
    <row r="10" spans="1:11" x14ac:dyDescent="0.25">
      <c r="A10" t="s">
        <v>39</v>
      </c>
      <c r="B10" t="s">
        <v>40</v>
      </c>
      <c r="C10" t="s">
        <v>38</v>
      </c>
      <c r="D10" t="s">
        <v>13</v>
      </c>
      <c r="E10" t="s">
        <v>14</v>
      </c>
      <c r="F10">
        <v>450</v>
      </c>
      <c r="G10">
        <v>28</v>
      </c>
      <c r="H10">
        <v>150</v>
      </c>
      <c r="I10">
        <v>325</v>
      </c>
      <c r="J10" s="1">
        <v>46044</v>
      </c>
      <c r="K10" t="s">
        <v>15</v>
      </c>
    </row>
    <row r="11" spans="1:11" x14ac:dyDescent="0.25">
      <c r="A11" t="s">
        <v>41</v>
      </c>
      <c r="B11" t="s">
        <v>42</v>
      </c>
      <c r="C11" t="s">
        <v>12</v>
      </c>
      <c r="D11" t="s">
        <v>19</v>
      </c>
      <c r="E11" t="s">
        <v>28</v>
      </c>
      <c r="F11">
        <v>18</v>
      </c>
      <c r="G11">
        <v>4200</v>
      </c>
      <c r="H11">
        <v>10</v>
      </c>
      <c r="I11">
        <v>12</v>
      </c>
      <c r="J11" s="1">
        <v>46047</v>
      </c>
      <c r="K11" t="s">
        <v>24</v>
      </c>
    </row>
    <row r="12" spans="1:11" x14ac:dyDescent="0.25">
      <c r="A12" t="s">
        <v>43</v>
      </c>
      <c r="B12" t="s">
        <v>44</v>
      </c>
      <c r="C12" t="s">
        <v>27</v>
      </c>
      <c r="D12" t="s">
        <v>23</v>
      </c>
      <c r="E12" t="s">
        <v>14</v>
      </c>
      <c r="F12">
        <v>22</v>
      </c>
      <c r="G12">
        <v>2200</v>
      </c>
      <c r="H12">
        <v>10</v>
      </c>
      <c r="I12">
        <v>14</v>
      </c>
      <c r="J12" s="1">
        <v>46049</v>
      </c>
      <c r="K12" t="s">
        <v>15</v>
      </c>
    </row>
    <row r="13" spans="1:11" x14ac:dyDescent="0.25">
      <c r="A13" t="s">
        <v>45</v>
      </c>
      <c r="B13" t="s">
        <v>46</v>
      </c>
      <c r="C13" t="s">
        <v>18</v>
      </c>
      <c r="D13" t="s">
        <v>31</v>
      </c>
      <c r="E13" t="s">
        <v>20</v>
      </c>
      <c r="F13">
        <v>85</v>
      </c>
      <c r="G13">
        <v>550</v>
      </c>
      <c r="H13">
        <v>30</v>
      </c>
      <c r="I13">
        <v>63</v>
      </c>
      <c r="J13" s="1">
        <v>46051</v>
      </c>
      <c r="K13" t="s">
        <v>15</v>
      </c>
    </row>
    <row r="14" spans="1:11" x14ac:dyDescent="0.25">
      <c r="A14" t="s">
        <v>47</v>
      </c>
      <c r="B14" t="s">
        <v>48</v>
      </c>
      <c r="C14" t="s">
        <v>38</v>
      </c>
      <c r="D14" t="s">
        <v>13</v>
      </c>
      <c r="E14" t="s">
        <v>28</v>
      </c>
      <c r="F14">
        <v>55</v>
      </c>
      <c r="G14">
        <v>280</v>
      </c>
      <c r="H14">
        <v>20</v>
      </c>
      <c r="I14">
        <v>39</v>
      </c>
      <c r="J14" s="1">
        <v>46055</v>
      </c>
      <c r="K14" t="s">
        <v>15</v>
      </c>
    </row>
    <row r="15" spans="1:11" x14ac:dyDescent="0.25">
      <c r="A15" t="s">
        <v>49</v>
      </c>
      <c r="B15" t="s">
        <v>50</v>
      </c>
      <c r="C15" t="s">
        <v>27</v>
      </c>
      <c r="D15" t="s">
        <v>19</v>
      </c>
      <c r="E15" t="s">
        <v>14</v>
      </c>
      <c r="F15">
        <v>16</v>
      </c>
      <c r="G15">
        <v>1900</v>
      </c>
      <c r="H15">
        <v>8</v>
      </c>
      <c r="I15">
        <v>11</v>
      </c>
      <c r="J15" s="1">
        <v>46057</v>
      </c>
      <c r="K15" t="s">
        <v>24</v>
      </c>
    </row>
    <row r="16" spans="1:11" x14ac:dyDescent="0.25">
      <c r="A16" t="s">
        <v>51</v>
      </c>
      <c r="B16" t="s">
        <v>52</v>
      </c>
      <c r="C16" t="s">
        <v>18</v>
      </c>
      <c r="D16" t="s">
        <v>23</v>
      </c>
      <c r="E16" t="s">
        <v>20</v>
      </c>
      <c r="F16">
        <v>70</v>
      </c>
      <c r="G16">
        <v>650</v>
      </c>
      <c r="H16">
        <v>25</v>
      </c>
      <c r="I16">
        <v>48</v>
      </c>
      <c r="J16" s="1">
        <v>46059</v>
      </c>
      <c r="K16" t="s">
        <v>15</v>
      </c>
    </row>
    <row r="17" spans="1:11" x14ac:dyDescent="0.25">
      <c r="A17" t="s">
        <v>53</v>
      </c>
      <c r="B17" t="s">
        <v>54</v>
      </c>
      <c r="C17" t="s">
        <v>38</v>
      </c>
      <c r="D17" t="s">
        <v>31</v>
      </c>
      <c r="E17" t="s">
        <v>28</v>
      </c>
      <c r="F17">
        <v>90</v>
      </c>
      <c r="G17">
        <v>85</v>
      </c>
      <c r="H17">
        <v>30</v>
      </c>
      <c r="I17">
        <v>55</v>
      </c>
      <c r="J17" s="1">
        <v>46061</v>
      </c>
      <c r="K17" t="s">
        <v>15</v>
      </c>
    </row>
    <row r="18" spans="1:11" x14ac:dyDescent="0.25">
      <c r="A18" t="s">
        <v>55</v>
      </c>
      <c r="B18" t="s">
        <v>56</v>
      </c>
      <c r="C18" t="s">
        <v>18</v>
      </c>
      <c r="D18" t="s">
        <v>13</v>
      </c>
      <c r="E18" t="s">
        <v>14</v>
      </c>
      <c r="F18">
        <v>25</v>
      </c>
      <c r="G18">
        <v>1250</v>
      </c>
      <c r="H18">
        <v>10</v>
      </c>
      <c r="I18">
        <v>19</v>
      </c>
      <c r="J18" s="1">
        <v>46063</v>
      </c>
      <c r="K18" t="s">
        <v>24</v>
      </c>
    </row>
    <row r="19" spans="1:11" x14ac:dyDescent="0.25">
      <c r="A19" t="s">
        <v>57</v>
      </c>
      <c r="B19" t="s">
        <v>58</v>
      </c>
      <c r="C19" t="s">
        <v>12</v>
      </c>
      <c r="D19" t="s">
        <v>19</v>
      </c>
      <c r="E19" t="s">
        <v>20</v>
      </c>
      <c r="F19">
        <v>32</v>
      </c>
      <c r="G19">
        <v>980</v>
      </c>
      <c r="H19">
        <v>12</v>
      </c>
      <c r="I19">
        <v>21</v>
      </c>
      <c r="J19" s="1">
        <v>46065</v>
      </c>
      <c r="K19" t="s">
        <v>15</v>
      </c>
    </row>
    <row r="20" spans="1:11" x14ac:dyDescent="0.25">
      <c r="A20" t="s">
        <v>59</v>
      </c>
      <c r="B20" t="s">
        <v>60</v>
      </c>
      <c r="C20" t="s">
        <v>12</v>
      </c>
      <c r="D20" t="s">
        <v>23</v>
      </c>
      <c r="E20" t="s">
        <v>28</v>
      </c>
      <c r="F20">
        <v>65</v>
      </c>
      <c r="G20">
        <v>190</v>
      </c>
      <c r="H20">
        <v>25</v>
      </c>
      <c r="I20">
        <v>44</v>
      </c>
      <c r="J20" s="1">
        <v>46067</v>
      </c>
      <c r="K20" t="s">
        <v>15</v>
      </c>
    </row>
    <row r="21" spans="1:11" x14ac:dyDescent="0.25">
      <c r="A21" t="s">
        <v>61</v>
      </c>
      <c r="B21" t="s">
        <v>62</v>
      </c>
      <c r="C21" t="s">
        <v>27</v>
      </c>
      <c r="D21" t="s">
        <v>31</v>
      </c>
      <c r="E21" t="s">
        <v>14</v>
      </c>
      <c r="F21">
        <v>14</v>
      </c>
      <c r="G21">
        <v>1750</v>
      </c>
      <c r="H21">
        <v>8</v>
      </c>
      <c r="I21">
        <v>9</v>
      </c>
      <c r="J21" s="1">
        <v>46069</v>
      </c>
      <c r="K21" t="s">
        <v>15</v>
      </c>
    </row>
    <row r="22" spans="1:11" x14ac:dyDescent="0.25">
      <c r="A22" t="s">
        <v>63</v>
      </c>
      <c r="B22" t="s">
        <v>64</v>
      </c>
      <c r="C22" t="s">
        <v>12</v>
      </c>
      <c r="D22" t="s">
        <v>13</v>
      </c>
      <c r="E22" t="s">
        <v>20</v>
      </c>
      <c r="F22">
        <v>48</v>
      </c>
      <c r="G22">
        <v>480</v>
      </c>
      <c r="H22">
        <v>20</v>
      </c>
      <c r="I22">
        <v>31</v>
      </c>
      <c r="J22" s="1">
        <v>46071</v>
      </c>
      <c r="K22" t="s">
        <v>15</v>
      </c>
    </row>
    <row r="23" spans="1:11" x14ac:dyDescent="0.25">
      <c r="A23" t="s">
        <v>65</v>
      </c>
      <c r="B23" t="s">
        <v>66</v>
      </c>
      <c r="C23" t="s">
        <v>18</v>
      </c>
      <c r="D23" t="s">
        <v>19</v>
      </c>
      <c r="E23" t="s">
        <v>28</v>
      </c>
      <c r="F23">
        <v>40</v>
      </c>
      <c r="G23">
        <v>720</v>
      </c>
      <c r="H23">
        <v>15</v>
      </c>
      <c r="I23">
        <v>29</v>
      </c>
      <c r="J23" s="1">
        <v>46073</v>
      </c>
      <c r="K23" t="s">
        <v>24</v>
      </c>
    </row>
    <row r="24" spans="1:11" x14ac:dyDescent="0.25">
      <c r="A24" t="s">
        <v>67</v>
      </c>
      <c r="B24" t="s">
        <v>68</v>
      </c>
      <c r="C24" t="s">
        <v>38</v>
      </c>
      <c r="D24" t="s">
        <v>23</v>
      </c>
      <c r="E24" t="s">
        <v>14</v>
      </c>
      <c r="F24">
        <v>250</v>
      </c>
      <c r="G24">
        <v>75</v>
      </c>
      <c r="H24">
        <v>100</v>
      </c>
      <c r="I24">
        <v>180</v>
      </c>
      <c r="J24" s="1">
        <v>46075</v>
      </c>
      <c r="K24" t="s">
        <v>15</v>
      </c>
    </row>
    <row r="25" spans="1:11" x14ac:dyDescent="0.25">
      <c r="A25" t="s">
        <v>69</v>
      </c>
      <c r="B25" t="s">
        <v>70</v>
      </c>
      <c r="C25" t="s">
        <v>38</v>
      </c>
      <c r="D25" t="s">
        <v>31</v>
      </c>
      <c r="E25" t="s">
        <v>20</v>
      </c>
      <c r="F25">
        <v>180</v>
      </c>
      <c r="G25">
        <v>65</v>
      </c>
      <c r="H25">
        <v>60</v>
      </c>
      <c r="I25">
        <v>120</v>
      </c>
      <c r="J25" s="1">
        <v>46077</v>
      </c>
      <c r="K25" t="s">
        <v>15</v>
      </c>
    </row>
    <row r="26" spans="1:11" x14ac:dyDescent="0.25">
      <c r="A26" t="s">
        <v>71</v>
      </c>
      <c r="B26" t="s">
        <v>72</v>
      </c>
      <c r="C26" t="s">
        <v>27</v>
      </c>
      <c r="D26" t="s">
        <v>13</v>
      </c>
      <c r="E26" t="s">
        <v>28</v>
      </c>
      <c r="F26">
        <v>8</v>
      </c>
      <c r="G26">
        <v>5200</v>
      </c>
      <c r="H26">
        <v>4</v>
      </c>
      <c r="I26">
        <v>5</v>
      </c>
      <c r="J26" s="1">
        <v>46079</v>
      </c>
      <c r="K26" t="s">
        <v>24</v>
      </c>
    </row>
    <row r="27" spans="1:11" x14ac:dyDescent="0.25">
      <c r="A27" t="s">
        <v>73</v>
      </c>
      <c r="B27" t="s">
        <v>74</v>
      </c>
      <c r="C27" t="s">
        <v>18</v>
      </c>
      <c r="D27" t="s">
        <v>23</v>
      </c>
      <c r="E27" t="s">
        <v>14</v>
      </c>
      <c r="F27">
        <v>30</v>
      </c>
      <c r="G27">
        <v>3500</v>
      </c>
      <c r="H27">
        <v>12</v>
      </c>
      <c r="I27">
        <v>21</v>
      </c>
      <c r="J27" s="1">
        <v>46082</v>
      </c>
      <c r="K27" t="s">
        <v>15</v>
      </c>
    </row>
    <row r="28" spans="1:11" x14ac:dyDescent="0.25">
      <c r="A28" t="s">
        <v>75</v>
      </c>
      <c r="B28" t="s">
        <v>76</v>
      </c>
      <c r="C28" t="s">
        <v>18</v>
      </c>
      <c r="D28" t="s">
        <v>31</v>
      </c>
      <c r="E28" t="s">
        <v>20</v>
      </c>
      <c r="F28">
        <v>95</v>
      </c>
      <c r="G28">
        <v>210</v>
      </c>
      <c r="H28">
        <v>35</v>
      </c>
      <c r="I28">
        <v>62</v>
      </c>
      <c r="J28" s="1">
        <v>46084</v>
      </c>
      <c r="K28" t="s">
        <v>15</v>
      </c>
    </row>
    <row r="29" spans="1:11" x14ac:dyDescent="0.25">
      <c r="A29" t="s">
        <v>77</v>
      </c>
      <c r="B29" t="s">
        <v>78</v>
      </c>
      <c r="C29" t="s">
        <v>38</v>
      </c>
      <c r="D29" t="s">
        <v>13</v>
      </c>
      <c r="E29" t="s">
        <v>28</v>
      </c>
      <c r="F29">
        <v>220</v>
      </c>
      <c r="G29">
        <v>45</v>
      </c>
      <c r="H29">
        <v>80</v>
      </c>
      <c r="I29">
        <v>155</v>
      </c>
      <c r="J29" s="1">
        <v>46086</v>
      </c>
      <c r="K29" t="s">
        <v>15</v>
      </c>
    </row>
    <row r="30" spans="1:11" x14ac:dyDescent="0.25">
      <c r="A30" t="s">
        <v>79</v>
      </c>
      <c r="B30" t="s">
        <v>80</v>
      </c>
      <c r="C30" t="s">
        <v>27</v>
      </c>
      <c r="D30" t="s">
        <v>19</v>
      </c>
      <c r="E30" t="s">
        <v>14</v>
      </c>
      <c r="F30">
        <v>10</v>
      </c>
      <c r="G30">
        <v>3800</v>
      </c>
      <c r="H30">
        <v>5</v>
      </c>
      <c r="I30">
        <v>7</v>
      </c>
      <c r="J30" s="1">
        <v>46088</v>
      </c>
      <c r="K30" t="s">
        <v>24</v>
      </c>
    </row>
    <row r="31" spans="1:11" x14ac:dyDescent="0.25">
      <c r="A31" t="s">
        <v>81</v>
      </c>
      <c r="B31" t="s">
        <v>82</v>
      </c>
      <c r="C31" t="s">
        <v>12</v>
      </c>
      <c r="D31" t="s">
        <v>23</v>
      </c>
      <c r="E31" t="s">
        <v>20</v>
      </c>
      <c r="F31">
        <v>24</v>
      </c>
      <c r="G31">
        <v>850</v>
      </c>
      <c r="H31">
        <v>10</v>
      </c>
      <c r="I31">
        <v>16</v>
      </c>
      <c r="J31" s="1">
        <v>46090</v>
      </c>
      <c r="K31" t="s">
        <v>15</v>
      </c>
    </row>
    <row r="32" spans="1:11" x14ac:dyDescent="0.25">
      <c r="A32" t="s">
        <v>83</v>
      </c>
      <c r="B32" t="s">
        <v>84</v>
      </c>
      <c r="C32" t="s">
        <v>12</v>
      </c>
      <c r="D32" t="s">
        <v>31</v>
      </c>
      <c r="E32" t="s">
        <v>28</v>
      </c>
      <c r="F32">
        <v>110</v>
      </c>
      <c r="G32">
        <v>75</v>
      </c>
      <c r="H32">
        <v>40</v>
      </c>
      <c r="I32">
        <v>78</v>
      </c>
      <c r="J32" s="1">
        <v>46092</v>
      </c>
      <c r="K32" t="s">
        <v>15</v>
      </c>
    </row>
    <row r="33" spans="1:11" x14ac:dyDescent="0.25">
      <c r="A33" t="s">
        <v>85</v>
      </c>
      <c r="B33" t="s">
        <v>86</v>
      </c>
      <c r="C33" t="s">
        <v>18</v>
      </c>
      <c r="D33" t="s">
        <v>13</v>
      </c>
      <c r="E33" t="s">
        <v>14</v>
      </c>
      <c r="F33">
        <v>80</v>
      </c>
      <c r="G33">
        <v>160</v>
      </c>
      <c r="H33">
        <v>30</v>
      </c>
      <c r="I33">
        <v>54</v>
      </c>
      <c r="J33" s="1">
        <v>46094</v>
      </c>
      <c r="K33" t="s">
        <v>15</v>
      </c>
    </row>
    <row r="34" spans="1:11" x14ac:dyDescent="0.25">
      <c r="A34" t="s">
        <v>87</v>
      </c>
      <c r="B34" t="s">
        <v>88</v>
      </c>
      <c r="C34" t="s">
        <v>27</v>
      </c>
      <c r="D34" t="s">
        <v>19</v>
      </c>
      <c r="E34" t="s">
        <v>20</v>
      </c>
      <c r="F34">
        <v>20</v>
      </c>
      <c r="G34">
        <v>900</v>
      </c>
      <c r="H34">
        <v>8</v>
      </c>
      <c r="I34">
        <v>13</v>
      </c>
      <c r="J34" s="1">
        <v>46096</v>
      </c>
      <c r="K34" t="s">
        <v>24</v>
      </c>
    </row>
    <row r="35" spans="1:11" x14ac:dyDescent="0.25">
      <c r="A35" t="s">
        <v>89</v>
      </c>
      <c r="B35" t="s">
        <v>90</v>
      </c>
      <c r="C35" t="s">
        <v>12</v>
      </c>
      <c r="D35" t="s">
        <v>23</v>
      </c>
      <c r="E35" t="s">
        <v>28</v>
      </c>
      <c r="F35">
        <v>35</v>
      </c>
      <c r="G35">
        <v>1100</v>
      </c>
      <c r="H35">
        <v>15</v>
      </c>
      <c r="I35">
        <v>24</v>
      </c>
      <c r="J35" s="1">
        <v>46098</v>
      </c>
      <c r="K35" t="s">
        <v>15</v>
      </c>
    </row>
    <row r="36" spans="1:11" x14ac:dyDescent="0.25">
      <c r="A36" t="s">
        <v>91</v>
      </c>
      <c r="B36" t="s">
        <v>92</v>
      </c>
      <c r="C36" t="s">
        <v>38</v>
      </c>
      <c r="D36" t="s">
        <v>31</v>
      </c>
      <c r="E36" t="s">
        <v>14</v>
      </c>
      <c r="F36">
        <v>280</v>
      </c>
      <c r="G36">
        <v>30</v>
      </c>
      <c r="H36">
        <v>100</v>
      </c>
      <c r="I36">
        <v>195</v>
      </c>
      <c r="J36" s="1">
        <v>46100</v>
      </c>
      <c r="K36" t="s">
        <v>15</v>
      </c>
    </row>
    <row r="37" spans="1:11" x14ac:dyDescent="0.25">
      <c r="A37" t="s">
        <v>93</v>
      </c>
      <c r="B37" t="s">
        <v>94</v>
      </c>
      <c r="C37" t="s">
        <v>18</v>
      </c>
      <c r="D37" t="s">
        <v>13</v>
      </c>
      <c r="E37" t="s">
        <v>20</v>
      </c>
      <c r="F37">
        <v>42</v>
      </c>
      <c r="G37">
        <v>4800</v>
      </c>
      <c r="H37">
        <v>15</v>
      </c>
      <c r="I37">
        <v>30</v>
      </c>
      <c r="J37" s="1">
        <v>46102</v>
      </c>
      <c r="K37" t="s">
        <v>24</v>
      </c>
    </row>
    <row r="38" spans="1:11" x14ac:dyDescent="0.25">
      <c r="A38" t="s">
        <v>95</v>
      </c>
      <c r="B38" t="s">
        <v>96</v>
      </c>
      <c r="C38" t="s">
        <v>27</v>
      </c>
      <c r="D38" t="s">
        <v>19</v>
      </c>
      <c r="E38" t="s">
        <v>28</v>
      </c>
      <c r="F38">
        <v>36</v>
      </c>
      <c r="G38">
        <v>1250</v>
      </c>
      <c r="H38">
        <v>15</v>
      </c>
      <c r="I38">
        <v>23</v>
      </c>
      <c r="J38" s="1">
        <v>46104</v>
      </c>
      <c r="K38" t="s">
        <v>15</v>
      </c>
    </row>
    <row r="39" spans="1:11" x14ac:dyDescent="0.25">
      <c r="A39" t="s">
        <v>97</v>
      </c>
      <c r="B39" t="s">
        <v>98</v>
      </c>
      <c r="C39" t="s">
        <v>18</v>
      </c>
      <c r="D39" t="s">
        <v>23</v>
      </c>
      <c r="E39" t="s">
        <v>14</v>
      </c>
      <c r="F39">
        <v>65</v>
      </c>
      <c r="G39">
        <v>380</v>
      </c>
      <c r="H39">
        <v>25</v>
      </c>
      <c r="I39">
        <v>42</v>
      </c>
      <c r="J39" s="1">
        <v>46106</v>
      </c>
      <c r="K39" t="s">
        <v>15</v>
      </c>
    </row>
    <row r="40" spans="1:11" x14ac:dyDescent="0.25">
      <c r="A40" t="s">
        <v>99</v>
      </c>
      <c r="B40" t="s">
        <v>100</v>
      </c>
      <c r="C40" t="s">
        <v>38</v>
      </c>
      <c r="D40" t="s">
        <v>31</v>
      </c>
      <c r="E40" t="s">
        <v>20</v>
      </c>
      <c r="F40">
        <v>38</v>
      </c>
      <c r="G40">
        <v>620</v>
      </c>
      <c r="H40">
        <v>15</v>
      </c>
      <c r="I40">
        <v>25</v>
      </c>
      <c r="J40" s="1">
        <v>46108</v>
      </c>
      <c r="K40" t="s">
        <v>15</v>
      </c>
    </row>
    <row r="41" spans="1:11" x14ac:dyDescent="0.25">
      <c r="A41" t="s">
        <v>101</v>
      </c>
      <c r="B41" t="s">
        <v>102</v>
      </c>
      <c r="C41" t="s">
        <v>27</v>
      </c>
      <c r="D41" t="s">
        <v>13</v>
      </c>
      <c r="E41" t="s">
        <v>28</v>
      </c>
      <c r="F41">
        <v>6</v>
      </c>
      <c r="G41">
        <v>4500</v>
      </c>
      <c r="H41">
        <v>3</v>
      </c>
      <c r="I41">
        <v>4</v>
      </c>
      <c r="J41" s="1">
        <v>46110</v>
      </c>
      <c r="K41" t="s">
        <v>24</v>
      </c>
    </row>
    <row r="42" spans="1:11" x14ac:dyDescent="0.25">
      <c r="A42" t="s">
        <v>103</v>
      </c>
      <c r="B42" t="s">
        <v>104</v>
      </c>
      <c r="C42" t="s">
        <v>18</v>
      </c>
      <c r="D42" t="s">
        <v>19</v>
      </c>
      <c r="E42" t="s">
        <v>14</v>
      </c>
      <c r="F42">
        <v>18</v>
      </c>
      <c r="G42">
        <v>2100</v>
      </c>
      <c r="H42">
        <v>8</v>
      </c>
      <c r="I42">
        <v>12</v>
      </c>
      <c r="J42" s="1">
        <v>46113</v>
      </c>
      <c r="K42" t="s">
        <v>15</v>
      </c>
    </row>
    <row r="43" spans="1:11" x14ac:dyDescent="0.25">
      <c r="A43" t="s">
        <v>105</v>
      </c>
      <c r="B43" t="s">
        <v>106</v>
      </c>
      <c r="C43" t="s">
        <v>38</v>
      </c>
      <c r="D43" t="s">
        <v>23</v>
      </c>
      <c r="E43" t="s">
        <v>20</v>
      </c>
      <c r="F43">
        <v>140</v>
      </c>
      <c r="G43">
        <v>55</v>
      </c>
      <c r="H43">
        <v>50</v>
      </c>
      <c r="I43">
        <v>92</v>
      </c>
      <c r="J43" s="1">
        <v>46115</v>
      </c>
      <c r="K43" t="s">
        <v>15</v>
      </c>
    </row>
    <row r="44" spans="1:11" x14ac:dyDescent="0.25">
      <c r="A44" t="s">
        <v>107</v>
      </c>
      <c r="B44" t="s">
        <v>108</v>
      </c>
      <c r="C44" t="s">
        <v>12</v>
      </c>
      <c r="D44" t="s">
        <v>31</v>
      </c>
      <c r="E44" t="s">
        <v>28</v>
      </c>
      <c r="F44">
        <v>75</v>
      </c>
      <c r="G44">
        <v>145</v>
      </c>
      <c r="H44">
        <v>25</v>
      </c>
      <c r="I44">
        <v>51</v>
      </c>
      <c r="J44" s="1">
        <v>46117</v>
      </c>
      <c r="K44" t="s">
        <v>15</v>
      </c>
    </row>
    <row r="45" spans="1:11" x14ac:dyDescent="0.25">
      <c r="A45" t="s">
        <v>109</v>
      </c>
      <c r="B45" t="s">
        <v>110</v>
      </c>
      <c r="C45" t="s">
        <v>12</v>
      </c>
      <c r="D45" t="s">
        <v>13</v>
      </c>
      <c r="E45" t="s">
        <v>14</v>
      </c>
      <c r="F45">
        <v>9</v>
      </c>
      <c r="G45">
        <v>6500</v>
      </c>
      <c r="H45">
        <v>4</v>
      </c>
      <c r="I45">
        <v>6</v>
      </c>
      <c r="J45" s="1">
        <v>46119</v>
      </c>
      <c r="K45" t="s">
        <v>24</v>
      </c>
    </row>
    <row r="46" spans="1:11" x14ac:dyDescent="0.25">
      <c r="A46" t="s">
        <v>111</v>
      </c>
      <c r="B46" t="s">
        <v>112</v>
      </c>
      <c r="C46" t="s">
        <v>18</v>
      </c>
      <c r="D46" t="s">
        <v>19</v>
      </c>
      <c r="E46" t="s">
        <v>20</v>
      </c>
      <c r="F46">
        <v>34</v>
      </c>
      <c r="G46">
        <v>480</v>
      </c>
      <c r="H46">
        <v>12</v>
      </c>
      <c r="I46">
        <v>22</v>
      </c>
      <c r="J46" s="1">
        <v>46121</v>
      </c>
      <c r="K46" t="s">
        <v>15</v>
      </c>
    </row>
    <row r="47" spans="1:11" x14ac:dyDescent="0.25">
      <c r="A47" t="s">
        <v>113</v>
      </c>
      <c r="B47" t="s">
        <v>114</v>
      </c>
      <c r="C47" t="s">
        <v>38</v>
      </c>
      <c r="D47" t="s">
        <v>23</v>
      </c>
      <c r="E47" t="s">
        <v>28</v>
      </c>
      <c r="F47">
        <v>190</v>
      </c>
      <c r="G47">
        <v>85</v>
      </c>
      <c r="H47">
        <v>70</v>
      </c>
      <c r="I47">
        <v>130</v>
      </c>
      <c r="J47" s="1">
        <v>46123</v>
      </c>
      <c r="K47" t="s">
        <v>15</v>
      </c>
    </row>
    <row r="48" spans="1:11" x14ac:dyDescent="0.25">
      <c r="A48" t="s">
        <v>115</v>
      </c>
      <c r="B48" t="s">
        <v>116</v>
      </c>
      <c r="C48" t="s">
        <v>27</v>
      </c>
      <c r="D48" t="s">
        <v>31</v>
      </c>
      <c r="E48" t="s">
        <v>14</v>
      </c>
      <c r="F48">
        <v>42</v>
      </c>
      <c r="G48">
        <v>780</v>
      </c>
      <c r="H48">
        <v>15</v>
      </c>
      <c r="I48">
        <v>28</v>
      </c>
      <c r="J48" s="1">
        <v>46125</v>
      </c>
      <c r="K48" t="s">
        <v>15</v>
      </c>
    </row>
    <row r="49" spans="1:11" x14ac:dyDescent="0.25">
      <c r="A49" t="s">
        <v>117</v>
      </c>
      <c r="B49" t="s">
        <v>118</v>
      </c>
      <c r="C49" t="s">
        <v>18</v>
      </c>
      <c r="D49" t="s">
        <v>13</v>
      </c>
      <c r="E49" t="s">
        <v>20</v>
      </c>
      <c r="F49">
        <v>55</v>
      </c>
      <c r="G49">
        <v>320</v>
      </c>
      <c r="H49">
        <v>20</v>
      </c>
      <c r="I49">
        <v>38</v>
      </c>
      <c r="J49" s="1">
        <v>46127</v>
      </c>
      <c r="K49" t="s">
        <v>24</v>
      </c>
    </row>
    <row r="50" spans="1:11" x14ac:dyDescent="0.25">
      <c r="A50" t="s">
        <v>119</v>
      </c>
      <c r="B50" t="s">
        <v>120</v>
      </c>
      <c r="C50" t="s">
        <v>38</v>
      </c>
      <c r="D50" t="s">
        <v>19</v>
      </c>
      <c r="E50" t="s">
        <v>28</v>
      </c>
      <c r="F50">
        <v>80</v>
      </c>
      <c r="G50">
        <v>150</v>
      </c>
      <c r="H50">
        <v>25</v>
      </c>
      <c r="I50">
        <v>54</v>
      </c>
      <c r="J50" s="1">
        <v>46129</v>
      </c>
      <c r="K50" t="s">
        <v>15</v>
      </c>
    </row>
    <row r="51" spans="1:11" x14ac:dyDescent="0.25">
      <c r="A51" t="s">
        <v>121</v>
      </c>
      <c r="B51" t="s">
        <v>122</v>
      </c>
      <c r="C51" t="s">
        <v>27</v>
      </c>
      <c r="D51" t="s">
        <v>23</v>
      </c>
      <c r="E51" t="s">
        <v>14</v>
      </c>
      <c r="F51">
        <v>12</v>
      </c>
      <c r="G51">
        <v>2400</v>
      </c>
      <c r="H51">
        <v>6</v>
      </c>
      <c r="I51">
        <v>8</v>
      </c>
      <c r="J51" s="1">
        <v>46131</v>
      </c>
      <c r="K51" t="s">
        <v>15</v>
      </c>
    </row>
    <row r="52" spans="1:11" x14ac:dyDescent="0.25">
      <c r="A52">
        <f>COUNTA(A2:A51)</f>
        <v>50</v>
      </c>
    </row>
    <row r="53" spans="1:11" x14ac:dyDescent="0.25">
      <c r="A53">
        <f>COUNTBLANK(A2:A51)</f>
        <v>0</v>
      </c>
    </row>
    <row r="54" spans="1:11" x14ac:dyDescent="0.25">
      <c r="A54">
        <f>COUNTA(_xlfn.UNIQUE(A2:A51))</f>
        <v>50</v>
      </c>
    </row>
    <row r="55" spans="1:11" x14ac:dyDescent="0.25">
      <c r="A55">
        <f>COUNTBLANK(F2:F51)</f>
        <v>0</v>
      </c>
    </row>
    <row r="56" spans="1:11" x14ac:dyDescent="0.25">
      <c r="A56">
        <f>COUNTBLANK(G2:G51)</f>
        <v>0</v>
      </c>
    </row>
    <row r="57" spans="1:11" x14ac:dyDescent="0.25">
      <c r="A57">
        <f>COUNTBLANK(H2:H51)</f>
        <v>0</v>
      </c>
    </row>
    <row r="58" spans="1:11" x14ac:dyDescent="0.25">
      <c r="A58">
        <f>COUNTBLANK(I2:I51)</f>
        <v>0</v>
      </c>
    </row>
    <row r="59" spans="1:11" x14ac:dyDescent="0.25">
      <c r="A59">
        <f>COUNTBLANK(J2:J51)</f>
        <v>0</v>
      </c>
    </row>
    <row r="60" spans="1:11" x14ac:dyDescent="0.25">
      <c r="A60">
        <f>COUNTBLANK(K2:K51)</f>
        <v>0</v>
      </c>
    </row>
    <row r="61" spans="1:11" x14ac:dyDescent="0.25">
      <c r="A61">
        <f>MIN(F2:F51)</f>
        <v>6</v>
      </c>
    </row>
    <row r="62" spans="1:11" x14ac:dyDescent="0.25">
      <c r="A62">
        <f>MAX(F2:F51)</f>
        <v>450</v>
      </c>
    </row>
    <row r="63" spans="1:11" x14ac:dyDescent="0.25">
      <c r="A63">
        <f>MIN(G2:G51)</f>
        <v>28</v>
      </c>
    </row>
    <row r="64" spans="1:11" x14ac:dyDescent="0.25">
      <c r="A64">
        <f>MAX(G2:G51)</f>
        <v>6500</v>
      </c>
    </row>
    <row r="65" spans="1:1" x14ac:dyDescent="0.25">
      <c r="A65">
        <f>MIN(H2:H51)</f>
        <v>3</v>
      </c>
    </row>
    <row r="66" spans="1:1" x14ac:dyDescent="0.25">
      <c r="A66">
        <f>MAX(H2:H51)</f>
        <v>150</v>
      </c>
    </row>
    <row r="67" spans="1:1" x14ac:dyDescent="0.25">
      <c r="A67">
        <f>MIN(I2:I51)</f>
        <v>4</v>
      </c>
    </row>
    <row r="68" spans="1:1" x14ac:dyDescent="0.25">
      <c r="A68">
        <f>MAX(I2:I51)</f>
        <v>325</v>
      </c>
    </row>
    <row r="69" spans="1:1" x14ac:dyDescent="0.25">
      <c r="A69">
        <f>COUNTIF('Data Cleaning'!D4:D53,"REORDER")</f>
        <v>0</v>
      </c>
    </row>
    <row r="70" spans="1:1" x14ac:dyDescent="0.25">
      <c r="A70">
        <f>COUNTIF('Data Cleaning'!D4:D53,"OK")</f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9BA8E-0B2A-44CE-BB89-4CC2F88BC053}">
  <dimension ref="A1:D53"/>
  <sheetViews>
    <sheetView workbookViewId="0">
      <selection activeCell="L36" sqref="L36"/>
    </sheetView>
  </sheetViews>
  <sheetFormatPr defaultRowHeight="15" x14ac:dyDescent="0.25"/>
  <cols>
    <col min="1" max="1" width="19.140625" bestFit="1" customWidth="1"/>
    <col min="2" max="2" width="14.140625" bestFit="1" customWidth="1"/>
    <col min="3" max="3" width="13.140625" bestFit="1" customWidth="1"/>
    <col min="4" max="4" width="14.28515625" bestFit="1" customWidth="1"/>
  </cols>
  <sheetData>
    <row r="1" spans="1:4" x14ac:dyDescent="0.25">
      <c r="A1" t="s">
        <v>124</v>
      </c>
    </row>
    <row r="3" spans="1:4" x14ac:dyDescent="0.25">
      <c r="A3" t="s">
        <v>0</v>
      </c>
      <c r="B3" t="s">
        <v>123</v>
      </c>
      <c r="C3" t="s">
        <v>6</v>
      </c>
      <c r="D3" t="s">
        <v>125</v>
      </c>
    </row>
    <row r="4" spans="1:4" x14ac:dyDescent="0.25">
      <c r="A4" t="str">
        <f>'Raw Data'!A2</f>
        <v>P001</v>
      </c>
      <c r="B4">
        <f>'Raw Data'!F2</f>
        <v>45</v>
      </c>
      <c r="C4">
        <f>'Raw Data'!H2</f>
        <v>20</v>
      </c>
      <c r="D4" t="str">
        <f>IF(B4&lt;=C4,"REORDER","OK")</f>
        <v>OK</v>
      </c>
    </row>
    <row r="5" spans="1:4" x14ac:dyDescent="0.25">
      <c r="A5" t="str">
        <f>'Raw Data'!A3</f>
        <v>P002</v>
      </c>
      <c r="B5">
        <f>'Raw Data'!F3</f>
        <v>120</v>
      </c>
      <c r="C5">
        <f>'Raw Data'!H3</f>
        <v>50</v>
      </c>
      <c r="D5" t="str">
        <f t="shared" ref="D5:D53" si="0">IF(B5&lt;=C5,"REORDER","OK")</f>
        <v>OK</v>
      </c>
    </row>
    <row r="6" spans="1:4" x14ac:dyDescent="0.25">
      <c r="A6" t="str">
        <f>'Raw Data'!A4</f>
        <v>P003</v>
      </c>
      <c r="B6">
        <f>'Raw Data'!F4</f>
        <v>75</v>
      </c>
      <c r="C6">
        <f>'Raw Data'!H4</f>
        <v>30</v>
      </c>
      <c r="D6" t="str">
        <f t="shared" si="0"/>
        <v>OK</v>
      </c>
    </row>
    <row r="7" spans="1:4" x14ac:dyDescent="0.25">
      <c r="A7" t="str">
        <f>'Raw Data'!A5</f>
        <v>P004</v>
      </c>
      <c r="B7">
        <f>'Raw Data'!F5</f>
        <v>28</v>
      </c>
      <c r="C7">
        <f>'Raw Data'!H5</f>
        <v>15</v>
      </c>
      <c r="D7" t="str">
        <f t="shared" si="0"/>
        <v>OK</v>
      </c>
    </row>
    <row r="8" spans="1:4" x14ac:dyDescent="0.25">
      <c r="A8" t="str">
        <f>'Raw Data'!A6</f>
        <v>P005</v>
      </c>
      <c r="B8">
        <f>'Raw Data'!F6</f>
        <v>60</v>
      </c>
      <c r="C8">
        <f>'Raw Data'!H6</f>
        <v>25</v>
      </c>
      <c r="D8" t="str">
        <f t="shared" si="0"/>
        <v>OK</v>
      </c>
    </row>
    <row r="9" spans="1:4" x14ac:dyDescent="0.25">
      <c r="A9" t="str">
        <f>'Raw Data'!A7</f>
        <v>P006</v>
      </c>
      <c r="B9">
        <f>'Raw Data'!F7</f>
        <v>35</v>
      </c>
      <c r="C9">
        <f>'Raw Data'!H7</f>
        <v>20</v>
      </c>
      <c r="D9" t="str">
        <f t="shared" si="0"/>
        <v>OK</v>
      </c>
    </row>
    <row r="10" spans="1:4" x14ac:dyDescent="0.25">
      <c r="A10" t="str">
        <f>'Raw Data'!A8</f>
        <v>P007</v>
      </c>
      <c r="B10">
        <f>'Raw Data'!F8</f>
        <v>200</v>
      </c>
      <c r="C10">
        <f>'Raw Data'!H8</f>
        <v>80</v>
      </c>
      <c r="D10" t="str">
        <f t="shared" si="0"/>
        <v>OK</v>
      </c>
    </row>
    <row r="11" spans="1:4" x14ac:dyDescent="0.25">
      <c r="A11" t="str">
        <f>'Raw Data'!A9</f>
        <v>P008</v>
      </c>
      <c r="B11">
        <f>'Raw Data'!F9</f>
        <v>300</v>
      </c>
      <c r="C11">
        <f>'Raw Data'!H9</f>
        <v>100</v>
      </c>
      <c r="D11" t="str">
        <f t="shared" si="0"/>
        <v>OK</v>
      </c>
    </row>
    <row r="12" spans="1:4" x14ac:dyDescent="0.25">
      <c r="A12" t="str">
        <f>'Raw Data'!A10</f>
        <v>P009</v>
      </c>
      <c r="B12">
        <f>'Raw Data'!F10</f>
        <v>450</v>
      </c>
      <c r="C12">
        <f>'Raw Data'!H10</f>
        <v>150</v>
      </c>
      <c r="D12" t="str">
        <f t="shared" si="0"/>
        <v>OK</v>
      </c>
    </row>
    <row r="13" spans="1:4" x14ac:dyDescent="0.25">
      <c r="A13" t="str">
        <f>'Raw Data'!A11</f>
        <v>P010</v>
      </c>
      <c r="B13">
        <f>'Raw Data'!F11</f>
        <v>18</v>
      </c>
      <c r="C13">
        <f>'Raw Data'!H11</f>
        <v>10</v>
      </c>
      <c r="D13" t="str">
        <f t="shared" si="0"/>
        <v>OK</v>
      </c>
    </row>
    <row r="14" spans="1:4" x14ac:dyDescent="0.25">
      <c r="A14" t="str">
        <f>'Raw Data'!A12</f>
        <v>P011</v>
      </c>
      <c r="B14">
        <f>'Raw Data'!F12</f>
        <v>22</v>
      </c>
      <c r="C14">
        <f>'Raw Data'!H12</f>
        <v>10</v>
      </c>
      <c r="D14" t="str">
        <f t="shared" si="0"/>
        <v>OK</v>
      </c>
    </row>
    <row r="15" spans="1:4" x14ac:dyDescent="0.25">
      <c r="A15" t="str">
        <f>'Raw Data'!A13</f>
        <v>P012</v>
      </c>
      <c r="B15">
        <f>'Raw Data'!F13</f>
        <v>85</v>
      </c>
      <c r="C15">
        <f>'Raw Data'!H13</f>
        <v>30</v>
      </c>
      <c r="D15" t="str">
        <f t="shared" si="0"/>
        <v>OK</v>
      </c>
    </row>
    <row r="16" spans="1:4" x14ac:dyDescent="0.25">
      <c r="A16" t="str">
        <f>'Raw Data'!A14</f>
        <v>P013</v>
      </c>
      <c r="B16">
        <f>'Raw Data'!F14</f>
        <v>55</v>
      </c>
      <c r="C16">
        <f>'Raw Data'!H14</f>
        <v>20</v>
      </c>
      <c r="D16" t="str">
        <f t="shared" si="0"/>
        <v>OK</v>
      </c>
    </row>
    <row r="17" spans="1:4" x14ac:dyDescent="0.25">
      <c r="A17" t="str">
        <f>'Raw Data'!A15</f>
        <v>P014</v>
      </c>
      <c r="B17">
        <f>'Raw Data'!F15</f>
        <v>16</v>
      </c>
      <c r="C17">
        <f>'Raw Data'!H15</f>
        <v>8</v>
      </c>
      <c r="D17" t="str">
        <f t="shared" si="0"/>
        <v>OK</v>
      </c>
    </row>
    <row r="18" spans="1:4" x14ac:dyDescent="0.25">
      <c r="A18" t="str">
        <f>'Raw Data'!A16</f>
        <v>P015</v>
      </c>
      <c r="B18">
        <f>'Raw Data'!F16</f>
        <v>70</v>
      </c>
      <c r="C18">
        <f>'Raw Data'!H16</f>
        <v>25</v>
      </c>
      <c r="D18" t="str">
        <f t="shared" si="0"/>
        <v>OK</v>
      </c>
    </row>
    <row r="19" spans="1:4" x14ac:dyDescent="0.25">
      <c r="A19" t="str">
        <f>'Raw Data'!A17</f>
        <v>P016</v>
      </c>
      <c r="B19">
        <f>'Raw Data'!F17</f>
        <v>90</v>
      </c>
      <c r="C19">
        <f>'Raw Data'!H17</f>
        <v>30</v>
      </c>
      <c r="D19" t="str">
        <f t="shared" si="0"/>
        <v>OK</v>
      </c>
    </row>
    <row r="20" spans="1:4" x14ac:dyDescent="0.25">
      <c r="A20" t="str">
        <f>'Raw Data'!A18</f>
        <v>P017</v>
      </c>
      <c r="B20">
        <f>'Raw Data'!F18</f>
        <v>25</v>
      </c>
      <c r="C20">
        <f>'Raw Data'!H18</f>
        <v>10</v>
      </c>
      <c r="D20" t="str">
        <f t="shared" si="0"/>
        <v>OK</v>
      </c>
    </row>
    <row r="21" spans="1:4" x14ac:dyDescent="0.25">
      <c r="A21" t="str">
        <f>'Raw Data'!A19</f>
        <v>P018</v>
      </c>
      <c r="B21">
        <f>'Raw Data'!F19</f>
        <v>32</v>
      </c>
      <c r="C21">
        <f>'Raw Data'!H19</f>
        <v>12</v>
      </c>
      <c r="D21" t="str">
        <f t="shared" si="0"/>
        <v>OK</v>
      </c>
    </row>
    <row r="22" spans="1:4" x14ac:dyDescent="0.25">
      <c r="A22" t="str">
        <f>'Raw Data'!A20</f>
        <v>P019</v>
      </c>
      <c r="B22">
        <f>'Raw Data'!F20</f>
        <v>65</v>
      </c>
      <c r="C22">
        <f>'Raw Data'!H20</f>
        <v>25</v>
      </c>
      <c r="D22" t="str">
        <f t="shared" si="0"/>
        <v>OK</v>
      </c>
    </row>
    <row r="23" spans="1:4" x14ac:dyDescent="0.25">
      <c r="A23" t="str">
        <f>'Raw Data'!A21</f>
        <v>P020</v>
      </c>
      <c r="B23">
        <f>'Raw Data'!F21</f>
        <v>14</v>
      </c>
      <c r="C23">
        <f>'Raw Data'!H21</f>
        <v>8</v>
      </c>
      <c r="D23" t="str">
        <f t="shared" si="0"/>
        <v>OK</v>
      </c>
    </row>
    <row r="24" spans="1:4" x14ac:dyDescent="0.25">
      <c r="A24" t="str">
        <f>'Raw Data'!A22</f>
        <v>P021</v>
      </c>
      <c r="B24">
        <f>'Raw Data'!F22</f>
        <v>48</v>
      </c>
      <c r="C24">
        <f>'Raw Data'!H22</f>
        <v>20</v>
      </c>
      <c r="D24" t="str">
        <f t="shared" si="0"/>
        <v>OK</v>
      </c>
    </row>
    <row r="25" spans="1:4" x14ac:dyDescent="0.25">
      <c r="A25" t="str">
        <f>'Raw Data'!A23</f>
        <v>P022</v>
      </c>
      <c r="B25">
        <f>'Raw Data'!F23</f>
        <v>40</v>
      </c>
      <c r="C25">
        <f>'Raw Data'!H23</f>
        <v>15</v>
      </c>
      <c r="D25" t="str">
        <f t="shared" si="0"/>
        <v>OK</v>
      </c>
    </row>
    <row r="26" spans="1:4" x14ac:dyDescent="0.25">
      <c r="A26" t="str">
        <f>'Raw Data'!A24</f>
        <v>P023</v>
      </c>
      <c r="B26">
        <f>'Raw Data'!F24</f>
        <v>250</v>
      </c>
      <c r="C26">
        <f>'Raw Data'!H24</f>
        <v>100</v>
      </c>
      <c r="D26" t="str">
        <f t="shared" si="0"/>
        <v>OK</v>
      </c>
    </row>
    <row r="27" spans="1:4" x14ac:dyDescent="0.25">
      <c r="A27" t="str">
        <f>'Raw Data'!A25</f>
        <v>P024</v>
      </c>
      <c r="B27">
        <f>'Raw Data'!F25</f>
        <v>180</v>
      </c>
      <c r="C27">
        <f>'Raw Data'!H25</f>
        <v>60</v>
      </c>
      <c r="D27" t="str">
        <f t="shared" si="0"/>
        <v>OK</v>
      </c>
    </row>
    <row r="28" spans="1:4" x14ac:dyDescent="0.25">
      <c r="A28" t="str">
        <f>'Raw Data'!A26</f>
        <v>P025</v>
      </c>
      <c r="B28">
        <f>'Raw Data'!F26</f>
        <v>8</v>
      </c>
      <c r="C28">
        <f>'Raw Data'!H26</f>
        <v>4</v>
      </c>
      <c r="D28" t="str">
        <f t="shared" si="0"/>
        <v>OK</v>
      </c>
    </row>
    <row r="29" spans="1:4" x14ac:dyDescent="0.25">
      <c r="A29" t="str">
        <f>'Raw Data'!A27</f>
        <v>P026</v>
      </c>
      <c r="B29">
        <f>'Raw Data'!F27</f>
        <v>30</v>
      </c>
      <c r="C29">
        <f>'Raw Data'!H27</f>
        <v>12</v>
      </c>
      <c r="D29" t="str">
        <f t="shared" si="0"/>
        <v>OK</v>
      </c>
    </row>
    <row r="30" spans="1:4" x14ac:dyDescent="0.25">
      <c r="A30" t="str">
        <f>'Raw Data'!A28</f>
        <v>P027</v>
      </c>
      <c r="B30">
        <f>'Raw Data'!F28</f>
        <v>95</v>
      </c>
      <c r="C30">
        <f>'Raw Data'!H28</f>
        <v>35</v>
      </c>
      <c r="D30" t="str">
        <f t="shared" si="0"/>
        <v>OK</v>
      </c>
    </row>
    <row r="31" spans="1:4" x14ac:dyDescent="0.25">
      <c r="A31" t="str">
        <f>'Raw Data'!A29</f>
        <v>P028</v>
      </c>
      <c r="B31">
        <f>'Raw Data'!F29</f>
        <v>220</v>
      </c>
      <c r="C31">
        <f>'Raw Data'!H29</f>
        <v>80</v>
      </c>
      <c r="D31" t="str">
        <f t="shared" si="0"/>
        <v>OK</v>
      </c>
    </row>
    <row r="32" spans="1:4" x14ac:dyDescent="0.25">
      <c r="A32" t="str">
        <f>'Raw Data'!A30</f>
        <v>P029</v>
      </c>
      <c r="B32">
        <f>'Raw Data'!F30</f>
        <v>10</v>
      </c>
      <c r="C32">
        <f>'Raw Data'!H30</f>
        <v>5</v>
      </c>
      <c r="D32" t="str">
        <f t="shared" si="0"/>
        <v>OK</v>
      </c>
    </row>
    <row r="33" spans="1:4" x14ac:dyDescent="0.25">
      <c r="A33" t="str">
        <f>'Raw Data'!A31</f>
        <v>P030</v>
      </c>
      <c r="B33">
        <f>'Raw Data'!F31</f>
        <v>24</v>
      </c>
      <c r="C33">
        <f>'Raw Data'!H31</f>
        <v>10</v>
      </c>
      <c r="D33" t="str">
        <f t="shared" si="0"/>
        <v>OK</v>
      </c>
    </row>
    <row r="34" spans="1:4" x14ac:dyDescent="0.25">
      <c r="A34" t="str">
        <f>'Raw Data'!A32</f>
        <v>P031</v>
      </c>
      <c r="B34">
        <f>'Raw Data'!F32</f>
        <v>110</v>
      </c>
      <c r="C34">
        <f>'Raw Data'!H32</f>
        <v>40</v>
      </c>
      <c r="D34" t="str">
        <f t="shared" si="0"/>
        <v>OK</v>
      </c>
    </row>
    <row r="35" spans="1:4" x14ac:dyDescent="0.25">
      <c r="A35" t="str">
        <f>'Raw Data'!A33</f>
        <v>P032</v>
      </c>
      <c r="B35">
        <f>'Raw Data'!F33</f>
        <v>80</v>
      </c>
      <c r="C35">
        <f>'Raw Data'!H33</f>
        <v>30</v>
      </c>
      <c r="D35" t="str">
        <f t="shared" si="0"/>
        <v>OK</v>
      </c>
    </row>
    <row r="36" spans="1:4" x14ac:dyDescent="0.25">
      <c r="A36" t="str">
        <f>'Raw Data'!A34</f>
        <v>P033</v>
      </c>
      <c r="B36">
        <f>'Raw Data'!F34</f>
        <v>20</v>
      </c>
      <c r="C36">
        <f>'Raw Data'!H34</f>
        <v>8</v>
      </c>
      <c r="D36" t="str">
        <f t="shared" si="0"/>
        <v>OK</v>
      </c>
    </row>
    <row r="37" spans="1:4" x14ac:dyDescent="0.25">
      <c r="A37" t="str">
        <f>'Raw Data'!A35</f>
        <v>P034</v>
      </c>
      <c r="B37">
        <f>'Raw Data'!F35</f>
        <v>35</v>
      </c>
      <c r="C37">
        <f>'Raw Data'!H35</f>
        <v>15</v>
      </c>
      <c r="D37" t="str">
        <f t="shared" si="0"/>
        <v>OK</v>
      </c>
    </row>
    <row r="38" spans="1:4" x14ac:dyDescent="0.25">
      <c r="A38" t="str">
        <f>'Raw Data'!A36</f>
        <v>P035</v>
      </c>
      <c r="B38">
        <f>'Raw Data'!F36</f>
        <v>280</v>
      </c>
      <c r="C38">
        <f>'Raw Data'!H36</f>
        <v>100</v>
      </c>
      <c r="D38" t="str">
        <f t="shared" si="0"/>
        <v>OK</v>
      </c>
    </row>
    <row r="39" spans="1:4" x14ac:dyDescent="0.25">
      <c r="A39" t="str">
        <f>'Raw Data'!A37</f>
        <v>P036</v>
      </c>
      <c r="B39">
        <f>'Raw Data'!F37</f>
        <v>42</v>
      </c>
      <c r="C39">
        <f>'Raw Data'!H37</f>
        <v>15</v>
      </c>
      <c r="D39" t="str">
        <f t="shared" si="0"/>
        <v>OK</v>
      </c>
    </row>
    <row r="40" spans="1:4" x14ac:dyDescent="0.25">
      <c r="A40" t="str">
        <f>'Raw Data'!A38</f>
        <v>P037</v>
      </c>
      <c r="B40">
        <f>'Raw Data'!F38</f>
        <v>36</v>
      </c>
      <c r="C40">
        <f>'Raw Data'!H38</f>
        <v>15</v>
      </c>
      <c r="D40" t="str">
        <f t="shared" si="0"/>
        <v>OK</v>
      </c>
    </row>
    <row r="41" spans="1:4" x14ac:dyDescent="0.25">
      <c r="A41" t="str">
        <f>'Raw Data'!A39</f>
        <v>P038</v>
      </c>
      <c r="B41">
        <f>'Raw Data'!F39</f>
        <v>65</v>
      </c>
      <c r="C41">
        <f>'Raw Data'!H39</f>
        <v>25</v>
      </c>
      <c r="D41" t="str">
        <f t="shared" si="0"/>
        <v>OK</v>
      </c>
    </row>
    <row r="42" spans="1:4" x14ac:dyDescent="0.25">
      <c r="A42" t="str">
        <f>'Raw Data'!A40</f>
        <v>P039</v>
      </c>
      <c r="B42">
        <f>'Raw Data'!F40</f>
        <v>38</v>
      </c>
      <c r="C42">
        <f>'Raw Data'!H40</f>
        <v>15</v>
      </c>
      <c r="D42" t="str">
        <f t="shared" si="0"/>
        <v>OK</v>
      </c>
    </row>
    <row r="43" spans="1:4" x14ac:dyDescent="0.25">
      <c r="A43" t="str">
        <f>'Raw Data'!A41</f>
        <v>P040</v>
      </c>
      <c r="B43">
        <f>'Raw Data'!F41</f>
        <v>6</v>
      </c>
      <c r="C43">
        <f>'Raw Data'!H41</f>
        <v>3</v>
      </c>
      <c r="D43" t="str">
        <f t="shared" si="0"/>
        <v>OK</v>
      </c>
    </row>
    <row r="44" spans="1:4" x14ac:dyDescent="0.25">
      <c r="A44" t="str">
        <f>'Raw Data'!A42</f>
        <v>P041</v>
      </c>
      <c r="B44">
        <f>'Raw Data'!F42</f>
        <v>18</v>
      </c>
      <c r="C44">
        <f>'Raw Data'!H42</f>
        <v>8</v>
      </c>
      <c r="D44" t="str">
        <f t="shared" si="0"/>
        <v>OK</v>
      </c>
    </row>
    <row r="45" spans="1:4" x14ac:dyDescent="0.25">
      <c r="A45" t="str">
        <f>'Raw Data'!A43</f>
        <v>P042</v>
      </c>
      <c r="B45">
        <f>'Raw Data'!F43</f>
        <v>140</v>
      </c>
      <c r="C45">
        <f>'Raw Data'!H43</f>
        <v>50</v>
      </c>
      <c r="D45" t="str">
        <f t="shared" si="0"/>
        <v>OK</v>
      </c>
    </row>
    <row r="46" spans="1:4" x14ac:dyDescent="0.25">
      <c r="A46" t="str">
        <f>'Raw Data'!A44</f>
        <v>P043</v>
      </c>
      <c r="B46">
        <f>'Raw Data'!F44</f>
        <v>75</v>
      </c>
      <c r="C46">
        <f>'Raw Data'!H44</f>
        <v>25</v>
      </c>
      <c r="D46" t="str">
        <f t="shared" si="0"/>
        <v>OK</v>
      </c>
    </row>
    <row r="47" spans="1:4" x14ac:dyDescent="0.25">
      <c r="A47" t="str">
        <f>'Raw Data'!A45</f>
        <v>P044</v>
      </c>
      <c r="B47">
        <f>'Raw Data'!F45</f>
        <v>9</v>
      </c>
      <c r="C47">
        <f>'Raw Data'!H45</f>
        <v>4</v>
      </c>
      <c r="D47" t="str">
        <f t="shared" si="0"/>
        <v>OK</v>
      </c>
    </row>
    <row r="48" spans="1:4" x14ac:dyDescent="0.25">
      <c r="A48" t="str">
        <f>'Raw Data'!A46</f>
        <v>P045</v>
      </c>
      <c r="B48">
        <f>'Raw Data'!F46</f>
        <v>34</v>
      </c>
      <c r="C48">
        <f>'Raw Data'!H46</f>
        <v>12</v>
      </c>
      <c r="D48" t="str">
        <f t="shared" si="0"/>
        <v>OK</v>
      </c>
    </row>
    <row r="49" spans="1:4" x14ac:dyDescent="0.25">
      <c r="A49" t="str">
        <f>'Raw Data'!A47</f>
        <v>P046</v>
      </c>
      <c r="B49">
        <f>'Raw Data'!F47</f>
        <v>190</v>
      </c>
      <c r="C49">
        <f>'Raw Data'!H47</f>
        <v>70</v>
      </c>
      <c r="D49" t="str">
        <f t="shared" si="0"/>
        <v>OK</v>
      </c>
    </row>
    <row r="50" spans="1:4" x14ac:dyDescent="0.25">
      <c r="A50" t="str">
        <f>'Raw Data'!A48</f>
        <v>P047</v>
      </c>
      <c r="B50">
        <f>'Raw Data'!F48</f>
        <v>42</v>
      </c>
      <c r="C50">
        <f>'Raw Data'!H48</f>
        <v>15</v>
      </c>
      <c r="D50" t="str">
        <f t="shared" si="0"/>
        <v>OK</v>
      </c>
    </row>
    <row r="51" spans="1:4" x14ac:dyDescent="0.25">
      <c r="A51" t="str">
        <f>'Raw Data'!A49</f>
        <v>P048</v>
      </c>
      <c r="B51">
        <f>'Raw Data'!F49</f>
        <v>55</v>
      </c>
      <c r="C51">
        <f>'Raw Data'!H49</f>
        <v>20</v>
      </c>
      <c r="D51" t="str">
        <f t="shared" si="0"/>
        <v>OK</v>
      </c>
    </row>
    <row r="52" spans="1:4" x14ac:dyDescent="0.25">
      <c r="A52" t="str">
        <f>'Raw Data'!A50</f>
        <v>P049</v>
      </c>
      <c r="B52">
        <f>'Raw Data'!F50</f>
        <v>80</v>
      </c>
      <c r="C52">
        <f>'Raw Data'!H50</f>
        <v>25</v>
      </c>
      <c r="D52" t="str">
        <f t="shared" si="0"/>
        <v>OK</v>
      </c>
    </row>
    <row r="53" spans="1:4" x14ac:dyDescent="0.25">
      <c r="A53" t="str">
        <f>'Raw Data'!A51</f>
        <v>P050</v>
      </c>
      <c r="B53">
        <f>'Raw Data'!F51</f>
        <v>12</v>
      </c>
      <c r="C53">
        <f>'Raw Data'!H51</f>
        <v>6</v>
      </c>
      <c r="D53" t="str">
        <f t="shared" si="0"/>
        <v>OK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A1300-0A5F-4FAF-84D6-DFC69BEAF493}">
  <dimension ref="A1:G19"/>
  <sheetViews>
    <sheetView workbookViewId="0">
      <selection activeCell="B5" sqref="B5"/>
    </sheetView>
  </sheetViews>
  <sheetFormatPr defaultRowHeight="15" x14ac:dyDescent="0.25"/>
  <cols>
    <col min="1" max="1" width="24" bestFit="1" customWidth="1"/>
    <col min="2" max="2" width="14.140625" bestFit="1" customWidth="1"/>
    <col min="3" max="3" width="9.85546875" bestFit="1" customWidth="1"/>
    <col min="4" max="4" width="14.5703125" bestFit="1" customWidth="1"/>
    <col min="6" max="6" width="13.85546875" bestFit="1" customWidth="1"/>
  </cols>
  <sheetData>
    <row r="1" spans="1:7" x14ac:dyDescent="0.25">
      <c r="A1" t="s">
        <v>130</v>
      </c>
    </row>
    <row r="3" spans="1:7" x14ac:dyDescent="0.25">
      <c r="A3" t="s">
        <v>131</v>
      </c>
      <c r="B3">
        <f>COUNTA('Raw Data'!A2:A51)</f>
        <v>50</v>
      </c>
    </row>
    <row r="4" spans="1:7" x14ac:dyDescent="0.25">
      <c r="A4" t="s">
        <v>132</v>
      </c>
      <c r="B4">
        <f>SUM('Raw Data'!F2:F51)</f>
        <v>4077</v>
      </c>
    </row>
    <row r="5" spans="1:7" x14ac:dyDescent="0.25">
      <c r="A5" t="s">
        <v>133</v>
      </c>
      <c r="B5" s="4">
        <f>SUMPRODUCT('Raw Data'!F2:F51,'Raw Data'!G2:G51)</f>
        <v>1594615</v>
      </c>
    </row>
    <row r="6" spans="1:7" x14ac:dyDescent="0.25">
      <c r="A6" t="s">
        <v>134</v>
      </c>
      <c r="B6">
        <f>SUM('Raw Data'!I2:I51)</f>
        <v>2815</v>
      </c>
    </row>
    <row r="7" spans="1:7" x14ac:dyDescent="0.25">
      <c r="A7" t="s">
        <v>135</v>
      </c>
      <c r="B7">
        <f>AVERAGE('Raw Data'!F2:F51)</f>
        <v>81.540000000000006</v>
      </c>
    </row>
    <row r="8" spans="1:7" x14ac:dyDescent="0.25">
      <c r="A8" t="s">
        <v>136</v>
      </c>
      <c r="B8">
        <f>COUNTIF('Data Cleaning'!D4:D53,"REORDER")</f>
        <v>0</v>
      </c>
    </row>
    <row r="9" spans="1:7" x14ac:dyDescent="0.25">
      <c r="A9" t="s">
        <v>137</v>
      </c>
      <c r="B9">
        <f>COUNTIF('Raw Data'!K2:K51,"On Time")</f>
        <v>37</v>
      </c>
    </row>
    <row r="10" spans="1:7" x14ac:dyDescent="0.25">
      <c r="A10" t="s">
        <v>138</v>
      </c>
      <c r="B10">
        <f>COUNTIF('Raw Data'!K2:K51,"Late")</f>
        <v>13</v>
      </c>
    </row>
    <row r="15" spans="1:7" x14ac:dyDescent="0.25">
      <c r="A15" t="s">
        <v>2</v>
      </c>
      <c r="B15" t="s">
        <v>139</v>
      </c>
      <c r="C15" t="s">
        <v>140</v>
      </c>
      <c r="D15" t="s">
        <v>141</v>
      </c>
      <c r="F15" t="s">
        <v>146</v>
      </c>
      <c r="G15" t="s">
        <v>147</v>
      </c>
    </row>
    <row r="16" spans="1:7" x14ac:dyDescent="0.25">
      <c r="A16" t="s">
        <v>18</v>
      </c>
      <c r="B16">
        <f>SUMIF('Raw Data'!C2:C51,A16,'Raw Data'!F2:F51)</f>
        <v>1069</v>
      </c>
      <c r="C16">
        <f>SUMIF('Raw Data'!C2:C51,A16,'Raw Data'!I2:I51)</f>
        <v>739</v>
      </c>
      <c r="D16" cm="1">
        <f t="array" ref="D16">SUMPRODUCT(('Raw Data'!C2:C51=A16)*('Raw Data'!F2:F51)*('Raw Data'!G2:G51))</f>
        <v>745420</v>
      </c>
      <c r="F16" t="s">
        <v>148</v>
      </c>
      <c r="G16">
        <v>37</v>
      </c>
    </row>
    <row r="17" spans="1:7" x14ac:dyDescent="0.25">
      <c r="A17" t="s">
        <v>27</v>
      </c>
      <c r="B17">
        <f>SUMIF('Raw Data'!C3:C52,A17,'Raw Data'!F3:F52)</f>
        <v>214</v>
      </c>
      <c r="C17">
        <f>SUMIF('Raw Data'!C3:C52,A17,'Raw Data'!I3:I52)</f>
        <v>140</v>
      </c>
      <c r="D17" cm="1">
        <f t="array" ref="D17">SUMPRODUCT(('Raw Data'!C3:C52=A17)*('Raw Data'!F3:F52)*('Raw Data'!G3:G52))</f>
        <v>375060</v>
      </c>
      <c r="F17" t="s">
        <v>149</v>
      </c>
      <c r="G17">
        <v>13</v>
      </c>
    </row>
    <row r="18" spans="1:7" x14ac:dyDescent="0.25">
      <c r="A18" t="s">
        <v>12</v>
      </c>
      <c r="B18">
        <f>SUMIF('Raw Data'!C4:C53,A18,'Raw Data'!F4:F53)</f>
        <v>476</v>
      </c>
      <c r="C18">
        <f>SUMIF('Raw Data'!C4:C53,A18,'Raw Data'!I4:I53)</f>
        <v>324</v>
      </c>
      <c r="D18" cm="1">
        <f t="array" ref="D18">SUMPRODUCT(('Raw Data'!C4:C53=A18)*('Raw Data'!F4:F53)*('Raw Data'!G4:G53))</f>
        <v>304075</v>
      </c>
    </row>
    <row r="19" spans="1:7" x14ac:dyDescent="0.25">
      <c r="A19" t="s">
        <v>38</v>
      </c>
      <c r="B19">
        <f>SUMIF('Raw Data'!C5:C54,A19,'Raw Data'!F5:F54)</f>
        <v>2273</v>
      </c>
      <c r="C19">
        <f>SUMIF('Raw Data'!C5:C54,A19,'Raw Data'!I5:I54)</f>
        <v>1580</v>
      </c>
      <c r="D19" cm="1">
        <f t="array" ref="D19">SUMPRODUCT(('Raw Data'!C5:C54=A19)*('Raw Data'!F5:F54)*('Raw Data'!G5:G54))</f>
        <v>154310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BB085-7B2C-4572-A166-06AB68BFAABB}">
  <dimension ref="A1:H6"/>
  <sheetViews>
    <sheetView tabSelected="1" workbookViewId="0">
      <selection activeCell="K10" sqref="K10"/>
    </sheetView>
  </sheetViews>
  <sheetFormatPr defaultRowHeight="15" x14ac:dyDescent="0.25"/>
  <cols>
    <col min="1" max="1" width="36.42578125" customWidth="1"/>
    <col min="2" max="2" width="24.5703125" customWidth="1"/>
    <col min="3" max="3" width="16.140625" bestFit="1" customWidth="1"/>
    <col min="4" max="4" width="27.42578125" customWidth="1"/>
    <col min="5" max="5" width="27.28515625" customWidth="1"/>
    <col min="6" max="6" width="18.28515625" customWidth="1"/>
    <col min="7" max="7" width="29.85546875" customWidth="1"/>
    <col min="8" max="8" width="14.28515625" bestFit="1" customWidth="1"/>
    <col min="9" max="9" width="10.28515625" bestFit="1" customWidth="1"/>
    <col min="10" max="10" width="10.85546875" bestFit="1" customWidth="1"/>
    <col min="11" max="11" width="14.28515625" bestFit="1" customWidth="1"/>
  </cols>
  <sheetData>
    <row r="1" spans="1:8" ht="24" x14ac:dyDescent="0.4">
      <c r="A1" s="2" t="s">
        <v>145</v>
      </c>
      <c r="B1" s="2"/>
      <c r="C1" s="2"/>
      <c r="D1" s="2"/>
      <c r="E1" s="2"/>
      <c r="F1" s="2"/>
      <c r="G1" s="2"/>
      <c r="H1" s="2"/>
    </row>
    <row r="3" spans="1:8" x14ac:dyDescent="0.25">
      <c r="A3" s="5" t="s">
        <v>131</v>
      </c>
      <c r="B3" s="5">
        <f>Anaysis!B3</f>
        <v>50</v>
      </c>
      <c r="C3" s="3"/>
      <c r="D3" s="5" t="s">
        <v>132</v>
      </c>
      <c r="E3" s="5">
        <f>Anaysis!B4</f>
        <v>4077</v>
      </c>
      <c r="F3" s="3"/>
      <c r="G3" s="5" t="s">
        <v>144</v>
      </c>
      <c r="H3" s="6">
        <f>Anaysis!B5</f>
        <v>1594615</v>
      </c>
    </row>
    <row r="4" spans="1:8" ht="9.9499999999999993" customHeight="1" x14ac:dyDescent="0.25"/>
    <row r="5" spans="1:8" x14ac:dyDescent="0.25">
      <c r="A5" s="5" t="s">
        <v>142</v>
      </c>
      <c r="B5" s="5">
        <f>Anaysis!B6</f>
        <v>2815</v>
      </c>
      <c r="C5" s="3"/>
      <c r="D5" s="5" t="s">
        <v>135</v>
      </c>
      <c r="E5" s="5">
        <f>Anaysis!B7</f>
        <v>81.540000000000006</v>
      </c>
      <c r="F5" s="3"/>
      <c r="G5" s="5" t="s">
        <v>143</v>
      </c>
      <c r="H5" s="5">
        <f>Anaysis!B10</f>
        <v>13</v>
      </c>
    </row>
    <row r="6" spans="1:8" ht="9.9499999999999993" customHeight="1" x14ac:dyDescent="0.25"/>
  </sheetData>
  <mergeCells count="1"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Data Cleaning</vt:lpstr>
      <vt:lpstr>Anaysis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Thembinkosi Tshabalala</dc:creator>
  <cp:lastModifiedBy>Thembinkosi Tshabalala</cp:lastModifiedBy>
  <dcterms:created xsi:type="dcterms:W3CDTF">2026-09-15T12:39:41Z</dcterms:created>
  <dcterms:modified xsi:type="dcterms:W3CDTF">2026-09-15T16:10:16Z</dcterms:modified>
</cp:coreProperties>
</file>